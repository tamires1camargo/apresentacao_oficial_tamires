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TI - INOVAÇÃO\PORTIFOLIO\NOVA\src\planilhas\"/>
    </mc:Choice>
  </mc:AlternateContent>
  <xr:revisionPtr revIDLastSave="0" documentId="13_ncr:1_{2740AD1C-0978-4666-94FD-4C9C079C3FE6}" xr6:coauthVersionLast="47" xr6:coauthVersionMax="47" xr10:uidLastSave="{00000000-0000-0000-0000-000000000000}"/>
  <bookViews>
    <workbookView xWindow="-120" yWindow="-120" windowWidth="20730" windowHeight="11310" xr2:uid="{A3A58B82-1B23-414F-90C0-BD02F033216C}"/>
  </bookViews>
  <sheets>
    <sheet name="FILIAIS" sheetId="2" r:id="rId1"/>
    <sheet name="PRODUTOS" sheetId="1" r:id="rId2"/>
  </sheets>
  <definedNames>
    <definedName name="_xlnm._FilterDatabase" localSheetId="0" hidden="1">FILIAIS!$A$33:$G$49</definedName>
    <definedName name="Tab_vendas">Tabela2[#All]</definedName>
  </definedNames>
  <calcPr calcId="181029"/>
  <pivotCaches>
    <pivotCache cacheId="102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0" i="2" l="1"/>
  <c r="F35" i="2"/>
  <c r="G35" i="2" s="1"/>
  <c r="F36" i="2"/>
  <c r="G36" i="2" s="1"/>
  <c r="F37" i="2"/>
  <c r="G37" i="2" s="1"/>
  <c r="F38" i="2"/>
  <c r="G38" i="2" s="1"/>
  <c r="F39" i="2"/>
  <c r="G39" i="2" s="1"/>
  <c r="F40" i="2"/>
  <c r="G40" i="2" s="1"/>
  <c r="F41" i="2"/>
  <c r="G41" i="2" s="1"/>
  <c r="F42" i="2"/>
  <c r="G42" i="2" s="1"/>
  <c r="F43" i="2"/>
  <c r="G43" i="2" s="1"/>
  <c r="F44" i="2"/>
  <c r="G44" i="2" s="1"/>
  <c r="F45" i="2"/>
  <c r="G45" i="2" s="1"/>
  <c r="F46" i="2"/>
  <c r="G46" i="2" s="1"/>
  <c r="F47" i="2"/>
  <c r="G47" i="2" s="1"/>
  <c r="F48" i="2"/>
  <c r="G48" i="2" s="1"/>
  <c r="F34" i="2"/>
  <c r="G34" i="2" s="1"/>
  <c r="D49" i="2"/>
  <c r="E49" i="2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9" i="1"/>
  <c r="I57" i="1" s="1"/>
  <c r="G4" i="1" s="1"/>
  <c r="B30" i="2"/>
  <c r="F19" i="2"/>
  <c r="B27" i="2"/>
  <c r="C24" i="2"/>
  <c r="B24" i="2"/>
  <c r="D24" i="2"/>
</calcChain>
</file>

<file path=xl/sharedStrings.xml><?xml version="1.0" encoding="utf-8"?>
<sst xmlns="http://schemas.openxmlformats.org/spreadsheetml/2006/main" count="341" uniqueCount="151">
  <si>
    <t>DESCRIÇÃO DO PRODUTO</t>
  </si>
  <si>
    <t>VALOR UNITÁRIO</t>
  </si>
  <si>
    <t>MARCA</t>
  </si>
  <si>
    <t>Almofada N. 2 Com Tinta Azul 59mm x 94mm</t>
  </si>
  <si>
    <t>Pilot</t>
  </si>
  <si>
    <t>Almofada N. 3 Com Tinta Vermelha 67mm x 110mm</t>
  </si>
  <si>
    <t>Bobina Fax 216mm x 30m</t>
  </si>
  <si>
    <t>Regispel</t>
  </si>
  <si>
    <t>Caderno Capa Dura 1/4 c/ 48 Folhas</t>
  </si>
  <si>
    <t>Brimpress</t>
  </si>
  <si>
    <t>Caderno Espiral 1/4 c/ 96 Folhas </t>
  </si>
  <si>
    <t>Tilibra</t>
  </si>
  <si>
    <t>Caderno Capa Dura Universitário Secretária c/ 80 Folhas </t>
  </si>
  <si>
    <t>Clips 2/0 Colorido c/ 100 Unidades</t>
  </si>
  <si>
    <t>Bacchi</t>
  </si>
  <si>
    <t>Clips Galvanizado 10/0 c/ 120 Unidades</t>
  </si>
  <si>
    <t>Clips Galvanizado 12/0 c/ 105 Unidades</t>
  </si>
  <si>
    <t>Clips Galvanizado N. 3/0 Liga Leve c/ 450 Unidades</t>
  </si>
  <si>
    <t xml:space="preserve">Cola em Bastão 10g </t>
  </si>
  <si>
    <t>Pritt Henkel</t>
  </si>
  <si>
    <t>Cola em Bastão 21g</t>
  </si>
  <si>
    <t>Bic</t>
  </si>
  <si>
    <t>Cola Líquida Branca 90g</t>
  </si>
  <si>
    <t>Frama</t>
  </si>
  <si>
    <t xml:space="preserve">Cola Líquida Extra 1000g </t>
  </si>
  <si>
    <t>Cascorez </t>
  </si>
  <si>
    <t>Divisória Plástica c/ 6 Projeções Color 754</t>
  </si>
  <si>
    <t>ACP</t>
  </si>
  <si>
    <t>NOME DA LOJA</t>
  </si>
  <si>
    <t>UF</t>
  </si>
  <si>
    <t>MATRÍCULA</t>
  </si>
  <si>
    <t>NOME DO FUNCIONÁRIO</t>
  </si>
  <si>
    <t>% DA COMISSÃO</t>
  </si>
  <si>
    <t>Maria Francisca</t>
  </si>
  <si>
    <t>PAPELARIA CHIQUE</t>
  </si>
  <si>
    <t>CIA DO PAPEL</t>
  </si>
  <si>
    <t>MULTIPAPEL</t>
  </si>
  <si>
    <t>PAPELARIA HIGH TECH</t>
  </si>
  <si>
    <t>ESPACIAL PAPELARIA</t>
  </si>
  <si>
    <t>Gilda da Silva</t>
  </si>
  <si>
    <t>José Fernando</t>
  </si>
  <si>
    <t>Ana Julia</t>
  </si>
  <si>
    <t>RS</t>
  </si>
  <si>
    <t>José Luis</t>
  </si>
  <si>
    <t>Geraldo Costa</t>
  </si>
  <si>
    <t>Juliana da Silva</t>
  </si>
  <si>
    <t>Marcia Cristina</t>
  </si>
  <si>
    <t>Lucas de Souza</t>
  </si>
  <si>
    <t>Camila Rodrigues</t>
  </si>
  <si>
    <t>Maria Paula</t>
  </si>
  <si>
    <t>Pedro Carvalho</t>
  </si>
  <si>
    <t>Isabela de Oliveira</t>
  </si>
  <si>
    <t>Nadia Maria</t>
  </si>
  <si>
    <t>João da Silva</t>
  </si>
  <si>
    <t>SP</t>
  </si>
  <si>
    <t>PR</t>
  </si>
  <si>
    <t>MT</t>
  </si>
  <si>
    <t>GO</t>
  </si>
  <si>
    <t>1K4N</t>
  </si>
  <si>
    <t>3N9O</t>
  </si>
  <si>
    <t>8H1I</t>
  </si>
  <si>
    <t>2A6M</t>
  </si>
  <si>
    <t>5IP8</t>
  </si>
  <si>
    <t>4U7J</t>
  </si>
  <si>
    <t>9R6T</t>
  </si>
  <si>
    <t>6F0B</t>
  </si>
  <si>
    <t>7Y3D</t>
  </si>
  <si>
    <t>2H5V</t>
  </si>
  <si>
    <t>6G3A</t>
  </si>
  <si>
    <t>1Z5W</t>
  </si>
  <si>
    <t>3R2L</t>
  </si>
  <si>
    <t>5C2P</t>
  </si>
  <si>
    <t>7L3R</t>
  </si>
  <si>
    <t>VALOR DAS VENDAS</t>
  </si>
  <si>
    <t xml:space="preserve">Elástico Látex 25g </t>
  </si>
  <si>
    <t>Mamuth</t>
  </si>
  <si>
    <t>Fichário OfÍcio Revestido c/ 4 Argolas 4750 Branco</t>
  </si>
  <si>
    <t xml:space="preserve">Grampo 26/6 Galv Cx C/5000 </t>
  </si>
  <si>
    <t>Grampo Trilho Plast Estendido 80mm 299.E C/50 </t>
  </si>
  <si>
    <t>Pasta Aba Elast Mini Pp Cr 20mm 1018</t>
  </si>
  <si>
    <t>Pasta Aba/ Elástico Delloplex Azul 199.C</t>
  </si>
  <si>
    <t>Pasta Catálogo c/ 100 Envelopes 0,06 130</t>
  </si>
  <si>
    <t>Pasta Sanfona Ofícil Kraft AZ-1/31 </t>
  </si>
  <si>
    <t>Pasta Susp Kraft 0002.X 200grs Haste Plast </t>
  </si>
  <si>
    <t>Dello</t>
  </si>
  <si>
    <t>VALOR A PAGAR DE COMISSÃO</t>
  </si>
  <si>
    <t>TOTAL DE VENDAS</t>
  </si>
  <si>
    <t xml:space="preserve">Pasta Trilho Plastificada Verde </t>
  </si>
  <si>
    <t>Jussara</t>
  </si>
  <si>
    <t xml:space="preserve">Régua 30 Cms Cr 981.3 </t>
  </si>
  <si>
    <t>Acrimet</t>
  </si>
  <si>
    <t xml:space="preserve">Tesoura 7,5" Ref.162 </t>
  </si>
  <si>
    <t>Mundial</t>
  </si>
  <si>
    <t>Tesoura Multiúso 106t</t>
  </si>
  <si>
    <t>Cis</t>
  </si>
  <si>
    <t>Visor Completo P/Pasta Suspensa 121.E Pct C/50</t>
  </si>
  <si>
    <t xml:space="preserve">Calculadora de Mesa MV 4121 </t>
  </si>
  <si>
    <t>Elgin</t>
  </si>
  <si>
    <t xml:space="preserve">Calculadora de Mesa c/ Impressão LP45 </t>
  </si>
  <si>
    <t>Procalc</t>
  </si>
  <si>
    <t xml:space="preserve">Calculadora de Mesa c/ Impressão HR-150RC </t>
  </si>
  <si>
    <t>Casio</t>
  </si>
  <si>
    <t>Livro Registro De Empregado 50fls 5703-4 S.</t>
  </si>
  <si>
    <t>Domingos</t>
  </si>
  <si>
    <t>Livro Protocolo 1/4 100 Fls</t>
  </si>
  <si>
    <t xml:space="preserve">Grampeador de Metal p/ 20 folhas GP 1000 </t>
  </si>
  <si>
    <t>BRW</t>
  </si>
  <si>
    <t xml:space="preserve">Grampeador Metal Para 100 Folhas 938 </t>
  </si>
  <si>
    <t>Eagle</t>
  </si>
  <si>
    <t>Corretivo em Caneta Líquida 8ml Squeeze</t>
  </si>
  <si>
    <t xml:space="preserve">Corretivo Fita 4,2mm x 8,5m Pritt </t>
  </si>
  <si>
    <t>Henkel</t>
  </si>
  <si>
    <t>STATUS</t>
  </si>
  <si>
    <t>FALTANDO</t>
  </si>
  <si>
    <t>EM ESTOQUE</t>
  </si>
  <si>
    <t>CÓDIGO</t>
  </si>
  <si>
    <t>PAINEL DE APURAÇÕES</t>
  </si>
  <si>
    <t>BANCO DE DADOS</t>
  </si>
  <si>
    <t>Total Geral</t>
  </si>
  <si>
    <t>Soma de VALOR DAS VENDAS</t>
  </si>
  <si>
    <t>Nome da Loja</t>
  </si>
  <si>
    <t>SEÇÃO</t>
  </si>
  <si>
    <t>Kit Mouse e Teclado sem Fio CSI50 Preto </t>
  </si>
  <si>
    <t>Intelbras</t>
  </si>
  <si>
    <t>Mouse óptico</t>
  </si>
  <si>
    <t>Multilaser</t>
  </si>
  <si>
    <t>Apoio de Punho para Teclado em Esmpuma Preto</t>
  </si>
  <si>
    <t>Laborpack</t>
  </si>
  <si>
    <t xml:space="preserve">Impressora Multifuncional L3250 </t>
  </si>
  <si>
    <t>Epson</t>
  </si>
  <si>
    <t>ESCRITÓRIO</t>
  </si>
  <si>
    <t>PAPELARIA</t>
  </si>
  <si>
    <t>INFORMATICA</t>
  </si>
  <si>
    <t xml:space="preserve">DVD-R (-) (Envelope) 4.7gb 16x </t>
  </si>
  <si>
    <t xml:space="preserve">Fone de Ouvido Intra Auricular </t>
  </si>
  <si>
    <t>Logitech</t>
  </si>
  <si>
    <t xml:space="preserve"> Asus</t>
  </si>
  <si>
    <t>Monitor Led, 15.6'', HD, Portátil, USB 3.0, Preto - Mb165b</t>
  </si>
  <si>
    <t>Todos os funcionários</t>
  </si>
  <si>
    <t>MG</t>
  </si>
  <si>
    <t>VENDAS POR REGIÃO</t>
  </si>
  <si>
    <t>QTDE MÍNIMA EM ESTOQUE</t>
  </si>
  <si>
    <t>Caneta esferográfica Azul Cx com 100und</t>
  </si>
  <si>
    <t>Lapis preto grafite Cx 20und</t>
  </si>
  <si>
    <t>Faber Castel</t>
  </si>
  <si>
    <t>O custo para aquisição de todos os itens para repor estoque é de:</t>
  </si>
  <si>
    <t>VALOR DAS VENDAS: MÊS B</t>
  </si>
  <si>
    <t>VALOR DAS VENDAS: MÊS A</t>
  </si>
  <si>
    <t>RESULTADO COMPARATIVO</t>
  </si>
  <si>
    <t>BÔNUS</t>
  </si>
  <si>
    <t>Nº DE FUNCIONÁRIOS COM DIREITO AO BÔNUS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</si>
</sst>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* #,##0.00_-;\-&quot;R$&quot;* #,##0.00_-;_-&quot;R$&quot;* &quot;-&quot;??_-;_-@_-"/>
    <numFmt numFmtId="164" formatCode="0.0%"/>
    <numFmt numFmtId="165" formatCode="&quot;R$&quot;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theme="1"/>
      </patternFill>
    </fill>
    <fill>
      <patternFill patternType="solid">
        <fgColor theme="2" tint="-9.9978637043366805E-2"/>
        <bgColor theme="0" tint="-0.34998626667073579"/>
      </patternFill>
    </fill>
    <fill>
      <patternFill patternType="solid">
        <fgColor theme="5" tint="0.39997558519241921"/>
        <bgColor theme="0" tint="-0.34998626667073579"/>
      </patternFill>
    </fill>
    <fill>
      <patternFill patternType="solid">
        <fgColor rgb="FFFFFF00"/>
        <bgColor theme="0" tint="-0.34998626667073579"/>
      </patternFill>
    </fill>
  </fills>
  <borders count="11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/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0" fillId="0" borderId="0" xfId="1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9" fontId="2" fillId="5" borderId="5" xfId="2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vertical="center" wrapText="1"/>
    </xf>
    <xf numFmtId="44" fontId="2" fillId="5" borderId="6" xfId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4" fontId="0" fillId="2" borderId="3" xfId="1" applyFont="1" applyFill="1" applyBorder="1" applyAlignment="1">
      <alignment horizontal="center" vertical="center"/>
    </xf>
    <xf numFmtId="9" fontId="3" fillId="6" borderId="2" xfId="1" applyNumberFormat="1" applyFont="1" applyFill="1" applyBorder="1" applyAlignment="1">
      <alignment horizontal="center" vertical="center"/>
    </xf>
    <xf numFmtId="44" fontId="3" fillId="6" borderId="2" xfId="1" applyFont="1" applyFill="1" applyBorder="1" applyAlignment="1">
      <alignment horizontal="center" vertical="center"/>
    </xf>
    <xf numFmtId="44" fontId="3" fillId="6" borderId="3" xfId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pivotButton="1" applyAlignment="1">
      <alignment horizontal="left" vertical="center" wrapText="1"/>
    </xf>
    <xf numFmtId="44" fontId="7" fillId="6" borderId="3" xfId="1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center" vertical="center"/>
    </xf>
    <xf numFmtId="44" fontId="0" fillId="3" borderId="3" xfId="1" applyFont="1" applyFill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1" fontId="0" fillId="0" borderId="0" xfId="1" applyNumberFormat="1" applyFont="1" applyAlignment="1">
      <alignment horizontal="center" vertical="center" wrapText="1"/>
    </xf>
    <xf numFmtId="1" fontId="0" fillId="0" borderId="0" xfId="1" applyNumberFormat="1" applyFont="1" applyAlignment="1">
      <alignment horizontal="center" vertical="center"/>
    </xf>
    <xf numFmtId="1" fontId="0" fillId="0" borderId="0" xfId="0" applyNumberFormat="1"/>
    <xf numFmtId="0" fontId="4" fillId="0" borderId="0" xfId="0" applyFont="1"/>
    <xf numFmtId="44" fontId="4" fillId="0" borderId="0" xfId="0" applyNumberFormat="1" applyFont="1"/>
    <xf numFmtId="0" fontId="5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44" fontId="9" fillId="4" borderId="0" xfId="0" applyNumberFormat="1" applyFont="1" applyFill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0" fontId="2" fillId="5" borderId="7" xfId="0" applyFont="1" applyFill="1" applyBorder="1" applyAlignment="1">
      <alignment vertical="center"/>
    </xf>
    <xf numFmtId="0" fontId="2" fillId="5" borderId="8" xfId="0" applyFont="1" applyFill="1" applyBorder="1" applyAlignment="1">
      <alignment horizontal="center" vertical="center"/>
    </xf>
    <xf numFmtId="49" fontId="2" fillId="5" borderId="8" xfId="0" applyNumberFormat="1" applyFont="1" applyFill="1" applyBorder="1" applyAlignment="1">
      <alignment horizontal="center" vertical="center"/>
    </xf>
    <xf numFmtId="44" fontId="2" fillId="5" borderId="8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44" fontId="2" fillId="5" borderId="10" xfId="1" applyFont="1" applyFill="1" applyBorder="1" applyAlignment="1">
      <alignment horizontal="center" vertical="center" wrapText="1"/>
    </xf>
    <xf numFmtId="44" fontId="2" fillId="5" borderId="0" xfId="1" applyFont="1" applyFill="1" applyBorder="1" applyAlignment="1">
      <alignment horizontal="center" vertical="center" wrapText="1"/>
    </xf>
    <xf numFmtId="1" fontId="10" fillId="8" borderId="0" xfId="1" applyNumberFormat="1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45">
    <dxf>
      <numFmt numFmtId="34" formatCode="_-&quot;R$&quot;* #,##0.00_-;\-&quot;R$&quot;* #,##0.00_-;_-&quot;R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</dxf>
    <dxf>
      <fill>
        <patternFill patternType="solid">
          <fgColor theme="0" tint="-0.34998626667073579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1" justifyLastLine="0" shrinkToFit="0" readingOrder="0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[Formulas&amp;MacrosVBA.xlsm]FILIAIS!Tabela dinâmica1</c:name>
    <c:fmtId val="3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FILIAIS!$I$3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254000" sx="102000" sy="102000" algn="ctr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FILIAIS!$H$4:$H$9</c:f>
              <c:strCache>
                <c:ptCount val="5"/>
                <c:pt idx="0">
                  <c:v>CIA DO PAPEL</c:v>
                </c:pt>
                <c:pt idx="1">
                  <c:v>ESPACIAL PAPELARIA</c:v>
                </c:pt>
                <c:pt idx="2">
                  <c:v>MULTIPAPEL</c:v>
                </c:pt>
                <c:pt idx="3">
                  <c:v>PAPELARIA CHIQUE</c:v>
                </c:pt>
                <c:pt idx="4">
                  <c:v>PAPELARIA HIGH TECH</c:v>
                </c:pt>
              </c:strCache>
            </c:strRef>
          </c:cat>
          <c:val>
            <c:numRef>
              <c:f>FILIAIS!$I$4:$I$9</c:f>
              <c:numCache>
                <c:formatCode>"R$"#,##0.00</c:formatCode>
                <c:ptCount val="5"/>
                <c:pt idx="0">
                  <c:v>1560</c:v>
                </c:pt>
                <c:pt idx="1">
                  <c:v>1650</c:v>
                </c:pt>
                <c:pt idx="2">
                  <c:v>930</c:v>
                </c:pt>
                <c:pt idx="3">
                  <c:v>1100</c:v>
                </c:pt>
                <c:pt idx="4">
                  <c:v>1720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0-43BC-9025-C79861E61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482048"/>
        <c:axId val="497483488"/>
      </c:barChart>
      <c:catAx>
        <c:axId val="49748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7483488"/>
        <c:crosses val="autoZero"/>
        <c:auto val="1"/>
        <c:lblAlgn val="ctr"/>
        <c:lblOffset val="100"/>
        <c:noMultiLvlLbl val="0"/>
      </c:catAx>
      <c:valAx>
        <c:axId val="4974834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748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10583</xdr:colOff>
      <xdr:row>9</xdr:row>
      <xdr:rowOff>137584</xdr:rowOff>
    </xdr:from>
    <xdr:to>
      <xdr:col>13</xdr:col>
      <xdr:colOff>444499</xdr:colOff>
      <xdr:row>22</xdr:row>
      <xdr:rowOff>243416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4E96930-63CC-327D-D9D2-6932F08212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179916</xdr:colOff>
      <xdr:row>1</xdr:row>
      <xdr:rowOff>52917</xdr:rowOff>
    </xdr:from>
    <xdr:to>
      <xdr:col>14</xdr:col>
      <xdr:colOff>42334</xdr:colOff>
      <xdr:row>9</xdr:row>
      <xdr:rowOff>42333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79AEDF65-679D-89CE-8DB7-30F54296C7AF}"/>
            </a:ext>
          </a:extLst>
        </xdr:cNvPr>
        <xdr:cNvSpPr/>
      </xdr:nvSpPr>
      <xdr:spPr>
        <a:xfrm>
          <a:off x="10583333" y="349250"/>
          <a:ext cx="2931584" cy="1703916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2000">
              <a:latin typeface="Bahnschrift SemiBold" panose="020B0502040204020203" pitchFamily="34" charset="0"/>
            </a:rPr>
            <a:t>Botões de Controle</a:t>
          </a:r>
        </a:p>
      </xdr:txBody>
    </xdr:sp>
    <xdr:clientData/>
  </xdr:twoCellAnchor>
  <xdr:twoCellAnchor>
    <xdr:from>
      <xdr:col>9</xdr:col>
      <xdr:colOff>497418</xdr:colOff>
      <xdr:row>4</xdr:row>
      <xdr:rowOff>52917</xdr:rowOff>
    </xdr:from>
    <xdr:to>
      <xdr:col>11</xdr:col>
      <xdr:colOff>201084</xdr:colOff>
      <xdr:row>7</xdr:row>
      <xdr:rowOff>52916</xdr:rowOff>
    </xdr:to>
    <xdr:sp macro="[0]!Atualiza_vendas" textlink="">
      <xdr:nvSpPr>
        <xdr:cNvPr id="9" name="Retângulo 8">
          <a:extLst>
            <a:ext uri="{FF2B5EF4-FFF2-40B4-BE49-F238E27FC236}">
              <a16:creationId xmlns:a16="http://schemas.microsoft.com/office/drawing/2014/main" id="{FD57E540-6F6E-C0C1-2595-45A4FF24B5F4}"/>
            </a:ext>
          </a:extLst>
        </xdr:cNvPr>
        <xdr:cNvSpPr/>
      </xdr:nvSpPr>
      <xdr:spPr>
        <a:xfrm>
          <a:off x="10900835" y="1111250"/>
          <a:ext cx="931332" cy="571499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  <a:latin typeface="Bahnschrift SemiBold" panose="020B0502040204020203" pitchFamily="34" charset="0"/>
            </a:rPr>
            <a:t>Atualizar</a:t>
          </a:r>
          <a:r>
            <a:rPr lang="pt-BR" sz="1200" baseline="0">
              <a:solidFill>
                <a:sysClr val="windowText" lastClr="000000"/>
              </a:solidFill>
              <a:latin typeface="Bahnschrift SemiBold" panose="020B0502040204020203" pitchFamily="34" charset="0"/>
            </a:rPr>
            <a:t> Vendas</a:t>
          </a:r>
          <a:endParaRPr lang="pt-BR" sz="1200">
            <a:solidFill>
              <a:sysClr val="windowText" lastClr="000000"/>
            </a:solidFill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12</xdr:col>
      <xdr:colOff>14818</xdr:colOff>
      <xdr:row>4</xdr:row>
      <xdr:rowOff>46567</xdr:rowOff>
    </xdr:from>
    <xdr:to>
      <xdr:col>13</xdr:col>
      <xdr:colOff>332317</xdr:colOff>
      <xdr:row>7</xdr:row>
      <xdr:rowOff>46566</xdr:rowOff>
    </xdr:to>
    <xdr:sp macro="[0]!Volta_valores" textlink="">
      <xdr:nvSpPr>
        <xdr:cNvPr id="11" name="Retângulo 10">
          <a:extLst>
            <a:ext uri="{FF2B5EF4-FFF2-40B4-BE49-F238E27FC236}">
              <a16:creationId xmlns:a16="http://schemas.microsoft.com/office/drawing/2014/main" id="{F67A5299-410C-4EB5-9341-E8A6BFAB227F}"/>
            </a:ext>
          </a:extLst>
        </xdr:cNvPr>
        <xdr:cNvSpPr/>
      </xdr:nvSpPr>
      <xdr:spPr>
        <a:xfrm>
          <a:off x="12259735" y="1104900"/>
          <a:ext cx="931332" cy="571499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  <a:latin typeface="Bahnschrift SemiBold" panose="020B0502040204020203" pitchFamily="34" charset="0"/>
            </a:rPr>
            <a:t>Voltar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190501</xdr:colOff>
      <xdr:row>3</xdr:row>
      <xdr:rowOff>19050</xdr:rowOff>
    </xdr:from>
    <xdr:to>
      <xdr:col>1</xdr:col>
      <xdr:colOff>1938866</xdr:colOff>
      <xdr:row>5</xdr:row>
      <xdr:rowOff>76200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6AE41B4-88F5-0074-2201-0D4E24C60A08}"/>
            </a:ext>
          </a:extLst>
        </xdr:cNvPr>
        <xdr:cNvGrpSpPr/>
      </xdr:nvGrpSpPr>
      <xdr:grpSpPr>
        <a:xfrm>
          <a:off x="190501" y="590550"/>
          <a:ext cx="2531532" cy="438150"/>
          <a:chOff x="8762999" y="704850"/>
          <a:chExt cx="2276475" cy="438150"/>
        </a:xfrm>
      </xdr:grpSpPr>
      <xdr:sp macro="[0]!Itens_em_falta" textlink="">
        <xdr:nvSpPr>
          <xdr:cNvPr id="2" name="Retângulo: Biselado 1">
            <a:extLst>
              <a:ext uri="{FF2B5EF4-FFF2-40B4-BE49-F238E27FC236}">
                <a16:creationId xmlns:a16="http://schemas.microsoft.com/office/drawing/2014/main" id="{3BC21DF1-7D48-4BCE-4A5A-ED4F20F1163F}"/>
              </a:ext>
            </a:extLst>
          </xdr:cNvPr>
          <xdr:cNvSpPr/>
        </xdr:nvSpPr>
        <xdr:spPr>
          <a:xfrm>
            <a:off x="8762999" y="704850"/>
            <a:ext cx="2276475" cy="438150"/>
          </a:xfrm>
          <a:prstGeom prst="bevel">
            <a:avLst/>
          </a:prstGeom>
          <a:solidFill>
            <a:srgbClr val="FF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200" baseline="0">
                <a:latin typeface="Bahnschrift SemiBold SemiConden" panose="020B0502040204020203" pitchFamily="34" charset="0"/>
              </a:rPr>
              <a:t>SELECIONAR ITENS FALTANTES</a:t>
            </a:r>
            <a:endParaRPr lang="pt-BR" sz="1200">
              <a:latin typeface="Bahnschrift SemiBold SemiConden" panose="020B0502040204020203" pitchFamily="34" charset="0"/>
            </a:endParaRPr>
          </a:p>
        </xdr:txBody>
      </xdr:sp>
      <xdr:pic macro="[0]!Itens_em_falta">
        <xdr:nvPicPr>
          <xdr:cNvPr id="4" name="Imagem 3" descr="ícones Do Computador, Sinal De Alerta, ícone Do Design png transparente  grátis">
            <a:extLst>
              <a:ext uri="{FF2B5EF4-FFF2-40B4-BE49-F238E27FC236}">
                <a16:creationId xmlns:a16="http://schemas.microsoft.com/office/drawing/2014/main" id="{6B06109D-79E8-26BC-1CE1-39B6B088C36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25126" y="714374"/>
            <a:ext cx="380999" cy="3809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132.797384953701" createdVersion="8" refreshedVersion="8" minRefreshableVersion="3" recordCount="15" xr:uid="{F1C54B81-081A-4AE9-9B75-04109556A064}">
  <cacheSource type="worksheet">
    <worksheetSource name="Tabela2"/>
  </cacheSource>
  <cacheFields count="6">
    <cacheField name="NOME DA LOJA" numFmtId="0">
      <sharedItems count="5">
        <s v="CIA DO PAPEL"/>
        <s v="ESPACIAL PAPELARIA"/>
        <s v="MULTIPAPEL"/>
        <s v="PAPELARIA CHIQUE"/>
        <s v="PAPELARIA HIGH TECH"/>
      </sharedItems>
    </cacheField>
    <cacheField name="UF" numFmtId="0">
      <sharedItems/>
    </cacheField>
    <cacheField name="NOME DO FUNCIONÁRIO" numFmtId="49">
      <sharedItems/>
    </cacheField>
    <cacheField name="MATRÍCULA" numFmtId="0">
      <sharedItems/>
    </cacheField>
    <cacheField name="% DA COMISSÃO" numFmtId="9">
      <sharedItems containsSemiMixedTypes="0" containsString="0" containsNumber="1" minValue="0.06" maxValue="300"/>
    </cacheField>
    <cacheField name="VALOR DAS VENDAS" numFmtId="44">
      <sharedItems containsSemiMixedTypes="0" containsString="0" containsNumber="1" containsInteger="1" minValue="200" maxValue="7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s v="PR"/>
    <s v="Juliana da Silva"/>
    <s v="9R6T"/>
    <n v="0.08"/>
    <n v="630"/>
  </r>
  <r>
    <x v="0"/>
    <s v="PR"/>
    <s v="Lucas de Souza"/>
    <s v="7Y3D"/>
    <n v="0.08"/>
    <n v="420"/>
  </r>
  <r>
    <x v="0"/>
    <s v="MG"/>
    <s v="Marcia Cristina"/>
    <s v="6F0B"/>
    <n v="0.08"/>
    <n v="510"/>
  </r>
  <r>
    <x v="1"/>
    <s v="MT"/>
    <s v="Isabela de Oliveira"/>
    <s v="3R2L"/>
    <n v="0.09"/>
    <n v="430"/>
  </r>
  <r>
    <x v="1"/>
    <s v="MT"/>
    <s v="João da Silva"/>
    <s v="7L3R"/>
    <n v="0.09"/>
    <n v="270"/>
  </r>
  <r>
    <x v="1"/>
    <s v="MT"/>
    <s v="Nadia Maria"/>
    <s v="5C2P"/>
    <n v="0.09"/>
    <n v="250"/>
  </r>
  <r>
    <x v="1"/>
    <s v="MT"/>
    <s v="Pedro Carvalho"/>
    <s v="1Z5W"/>
    <n v="0.09"/>
    <n v="700"/>
  </r>
  <r>
    <x v="2"/>
    <s v="GO"/>
    <s v="Camila Rodrigues"/>
    <s v="2H5V"/>
    <n v="7.0000000000000007E-2"/>
    <n v="550"/>
  </r>
  <r>
    <x v="2"/>
    <s v="SP"/>
    <s v="Maria Paula"/>
    <s v="6G3A"/>
    <n v="7.0000000000000007E-2"/>
    <n v="380"/>
  </r>
  <r>
    <x v="3"/>
    <s v="RS"/>
    <s v="Ana Julia"/>
    <s v="3N9O"/>
    <n v="0.1"/>
    <n v="700"/>
  </r>
  <r>
    <x v="3"/>
    <s v="RS"/>
    <s v="José Fernando"/>
    <s v="1K4N"/>
    <n v="0.1"/>
    <n v="400"/>
  </r>
  <r>
    <x v="4"/>
    <s v="MG"/>
    <s v="Geraldo Costa"/>
    <s v="4U7J"/>
    <n v="0.06"/>
    <n v="350"/>
  </r>
  <r>
    <x v="4"/>
    <s v="SP"/>
    <s v="Gilda da Silva"/>
    <s v="2A6M"/>
    <n v="0.06"/>
    <n v="200"/>
  </r>
  <r>
    <x v="4"/>
    <s v="MG"/>
    <s v="José Luis"/>
    <s v="5IP8"/>
    <n v="0.06"/>
    <n v="770"/>
  </r>
  <r>
    <x v="4"/>
    <s v="SP"/>
    <s v="Maria Francisca"/>
    <s v="8H1I"/>
    <n v="300"/>
    <n v="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EF9B38-978B-4F48-9C4E-21202BD8A1D3}" name="Tabela dinâmica1" cacheId="1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Nome da Loja">
  <location ref="H3:I9" firstHeaderRow="1" firstDataRow="1" firstDataCol="1"/>
  <pivotFields count="6">
    <pivotField axis="axisRow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numFmtId="9" showAll="0"/>
    <pivotField dataField="1" numFmtId="44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VALOR DAS VENDAS" fld="5" baseField="0" baseItem="0" numFmtId="165"/>
  </dataFields>
  <formats count="14">
    <format dxfId="38">
      <pivotArea field="0" type="button" dataOnly="0" labelOnly="1" outline="0" axis="axisRow" fieldPosition="0"/>
    </format>
    <format dxfId="37">
      <pivotArea dataOnly="0" labelOnly="1" outline="0" axis="axisValues" fieldPosition="0"/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dataOnly="0" labelOnly="1" outline="0" axis="axisValues" fieldPosition="0"/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0" type="button" dataOnly="0" labelOnly="1" outline="0" axis="axisRow" fieldPosition="0"/>
    </format>
    <format dxfId="30">
      <pivotArea dataOnly="0" labelOnly="1" fieldPosition="0">
        <references count="1">
          <reference field="0" count="0"/>
        </references>
      </pivotArea>
    </format>
    <format dxfId="29">
      <pivotArea dataOnly="0" labelOnly="1" grandRow="1" outline="0" fieldPosition="0"/>
    </format>
    <format dxfId="28">
      <pivotArea dataOnly="0" labelOnly="1" outline="0" axis="axisValues" fieldPosition="0"/>
    </format>
    <format dxfId="27">
      <pivotArea field="0" type="button" dataOnly="0" labelOnly="1" outline="0" axis="axisRow" fieldPosition="0"/>
    </format>
    <format dxfId="26">
      <pivotArea dataOnly="0" labelOnly="1" fieldPosition="0">
        <references count="1">
          <reference field="0" count="0"/>
        </references>
      </pivotArea>
    </format>
    <format dxfId="25">
      <pivotArea dataOnly="0" labelOnly="1" grandRow="1" outline="0" fieldPosition="0"/>
    </format>
  </format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2D6B09-2DE6-4E4A-9847-9888695F5A49}" name="Tabela2" displayName="Tabela2" ref="A3:F19" totalsRowCount="1" headerRowDxfId="24">
  <autoFilter ref="A3:F18" xr:uid="{F72D6B09-2DE6-4E4A-9847-9888695F5A49}"/>
  <sortState xmlns:xlrd2="http://schemas.microsoft.com/office/spreadsheetml/2017/richdata2" ref="A4:F18">
    <sortCondition ref="A3:A18"/>
  </sortState>
  <tableColumns count="6">
    <tableColumn id="1" xr3:uid="{82BB06E7-51A3-4B23-97E0-93D36A1FF7F3}" name="NOME DA LOJA" dataDxfId="23" totalsRowDxfId="5"/>
    <tableColumn id="2" xr3:uid="{D77DA194-4CFA-4A69-8797-A380FA84EB2B}" name="UF" dataDxfId="22" totalsRowDxfId="4"/>
    <tableColumn id="3" xr3:uid="{C6072AA8-7011-45C9-A97B-9C9904F5F2BC}" name="NOME DO FUNCIONÁRIO" totalsRowLabel="Todos os funcionários" dataDxfId="21" totalsRowDxfId="3"/>
    <tableColumn id="4" xr3:uid="{AAB58650-DEFC-4CEA-93B4-98D3B8DD4584}" name="MATRÍCULA" dataDxfId="20" totalsRowDxfId="2"/>
    <tableColumn id="6" xr3:uid="{B61D01BB-A1A2-47EA-BB85-A452DD53AF53}" name="% DA COMISSÃO" dataDxfId="19" totalsRowDxfId="1" dataCellStyle="Porcentagem"/>
    <tableColumn id="7" xr3:uid="{F32DDB83-6064-40BF-8C28-2E2EFDB56EC5}" name="VALOR DAS VENDAS" totalsRowFunction="sum" dataDxfId="18" totalsRowDxfId="0" dataCellStyle="Moeda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7B4674-98BF-492F-B705-64C6C518214D}" name="Tabela1" displayName="Tabela1" ref="A8:G56" totalsRowShown="0">
  <autoFilter ref="A8:G56" xr:uid="{957B4674-98BF-492F-B705-64C6C518214D}"/>
  <tableColumns count="7">
    <tableColumn id="1" xr3:uid="{FFF4C91B-1FBC-44CC-8A9F-660F930006C6}" name="CÓDIGO" dataDxfId="44"/>
    <tableColumn id="2" xr3:uid="{B87F4259-94CF-414D-9E1D-4D93B9E1587A}" name="DESCRIÇÃO DO PRODUTO"/>
    <tableColumn id="3" xr3:uid="{975FDBE0-67DE-4947-9775-C6130B80FA0D}" name="MARCA" dataDxfId="43"/>
    <tableColumn id="4" xr3:uid="{D7532CBA-8ADD-48AB-BE40-6F28E4CC8360}" name="VALOR UNITÁRIO" dataDxfId="42" dataCellStyle="Moeda"/>
    <tableColumn id="7" xr3:uid="{AEA4EE1E-D09F-4476-A4F2-953AD2EE2BFB}" name="QTDE MÍNIMA EM ESTOQUE" dataDxfId="41" dataCellStyle="Moeda"/>
    <tableColumn id="6" xr3:uid="{8B0C00F4-E4F3-4873-AD18-5C09D002654A}" name="SEÇÃO" dataDxfId="40" dataCellStyle="Moeda"/>
    <tableColumn id="5" xr3:uid="{13380624-800B-44F3-BE04-86B106DC5FA5}" name="STATUS" dataDxfId="39" dataCellStyle="Moeda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3D382-6F30-474C-A576-18170723FD0A}">
  <sheetPr codeName="Planilha2"/>
  <dimension ref="A1:I53"/>
  <sheetViews>
    <sheetView tabSelected="1" zoomScale="90" zoomScaleNormal="90" workbookViewId="0">
      <selection activeCell="F22" sqref="F22"/>
    </sheetView>
  </sheetViews>
  <sheetFormatPr defaultRowHeight="15" x14ac:dyDescent="0.25"/>
  <cols>
    <col min="1" max="1" width="22.42578125" style="7" customWidth="1"/>
    <col min="2" max="2" width="12.85546875" style="6" bestFit="1" customWidth="1"/>
    <col min="3" max="3" width="19.42578125" style="6" customWidth="1"/>
    <col min="4" max="4" width="17.42578125" style="6" customWidth="1"/>
    <col min="5" max="5" width="15.28515625" style="11" customWidth="1"/>
    <col min="6" max="6" width="15.140625" style="2" customWidth="1"/>
    <col min="7" max="7" width="8.42578125" customWidth="1"/>
    <col min="8" max="8" width="20.7109375" style="26" bestFit="1" customWidth="1"/>
    <col min="9" max="9" width="19.28515625" style="6" customWidth="1"/>
  </cols>
  <sheetData>
    <row r="1" spans="1:9" ht="23.25" x14ac:dyDescent="0.25">
      <c r="A1" s="40" t="s">
        <v>117</v>
      </c>
      <c r="B1" s="40"/>
      <c r="C1" s="40"/>
      <c r="D1" s="40"/>
      <c r="E1" s="40"/>
      <c r="F1" s="40"/>
    </row>
    <row r="3" spans="1:9" ht="30" x14ac:dyDescent="0.25">
      <c r="A3" s="8" t="s">
        <v>28</v>
      </c>
      <c r="B3" s="9" t="s">
        <v>29</v>
      </c>
      <c r="C3" s="9" t="s">
        <v>31</v>
      </c>
      <c r="D3" s="9" t="s">
        <v>30</v>
      </c>
      <c r="E3" s="12" t="s">
        <v>32</v>
      </c>
      <c r="F3" s="10" t="s">
        <v>73</v>
      </c>
      <c r="H3" s="27" t="s">
        <v>120</v>
      </c>
      <c r="I3" s="9" t="s">
        <v>119</v>
      </c>
    </row>
    <row r="4" spans="1:9" x14ac:dyDescent="0.25">
      <c r="A4" s="7" t="s">
        <v>35</v>
      </c>
      <c r="B4" s="6" t="s">
        <v>55</v>
      </c>
      <c r="C4" s="19" t="s">
        <v>45</v>
      </c>
      <c r="D4" s="6" t="s">
        <v>64</v>
      </c>
      <c r="E4" s="11">
        <v>0.08</v>
      </c>
      <c r="F4" s="20">
        <v>630</v>
      </c>
      <c r="H4" s="26" t="s">
        <v>35</v>
      </c>
      <c r="I4" s="25">
        <v>1560</v>
      </c>
    </row>
    <row r="5" spans="1:9" x14ac:dyDescent="0.25">
      <c r="A5" s="7" t="s">
        <v>35</v>
      </c>
      <c r="B5" s="6" t="s">
        <v>55</v>
      </c>
      <c r="C5" s="19" t="s">
        <v>47</v>
      </c>
      <c r="D5" s="6" t="s">
        <v>66</v>
      </c>
      <c r="E5" s="11">
        <v>0.08</v>
      </c>
      <c r="F5" s="32">
        <v>420</v>
      </c>
      <c r="H5" s="26" t="s">
        <v>38</v>
      </c>
      <c r="I5" s="25">
        <v>1650</v>
      </c>
    </row>
    <row r="6" spans="1:9" x14ac:dyDescent="0.25">
      <c r="A6" s="7" t="s">
        <v>35</v>
      </c>
      <c r="B6" s="6" t="s">
        <v>139</v>
      </c>
      <c r="C6" s="19" t="s">
        <v>46</v>
      </c>
      <c r="D6" s="6" t="s">
        <v>65</v>
      </c>
      <c r="E6" s="11">
        <v>0.08</v>
      </c>
      <c r="F6" s="20">
        <v>510</v>
      </c>
      <c r="H6" s="26" t="s">
        <v>36</v>
      </c>
      <c r="I6" s="25">
        <v>930</v>
      </c>
    </row>
    <row r="7" spans="1:9" x14ac:dyDescent="0.25">
      <c r="A7" s="7" t="s">
        <v>38</v>
      </c>
      <c r="B7" s="6" t="s">
        <v>56</v>
      </c>
      <c r="C7" s="19" t="s">
        <v>51</v>
      </c>
      <c r="D7" s="6" t="s">
        <v>70</v>
      </c>
      <c r="E7" s="11">
        <v>0.09</v>
      </c>
      <c r="F7" s="32">
        <v>430</v>
      </c>
      <c r="H7" s="26" t="s">
        <v>34</v>
      </c>
      <c r="I7" s="25">
        <v>1100</v>
      </c>
    </row>
    <row r="8" spans="1:9" x14ac:dyDescent="0.25">
      <c r="A8" s="7" t="s">
        <v>38</v>
      </c>
      <c r="B8" s="6" t="s">
        <v>56</v>
      </c>
      <c r="C8" s="19" t="s">
        <v>53</v>
      </c>
      <c r="D8" s="6" t="s">
        <v>72</v>
      </c>
      <c r="E8" s="11">
        <v>0.09</v>
      </c>
      <c r="F8" s="20">
        <v>270</v>
      </c>
      <c r="H8" s="26" t="s">
        <v>37</v>
      </c>
      <c r="I8" s="25">
        <v>1720</v>
      </c>
    </row>
    <row r="9" spans="1:9" x14ac:dyDescent="0.25">
      <c r="A9" s="7" t="s">
        <v>38</v>
      </c>
      <c r="B9" s="6" t="s">
        <v>56</v>
      </c>
      <c r="C9" s="19" t="s">
        <v>52</v>
      </c>
      <c r="D9" s="6" t="s">
        <v>71</v>
      </c>
      <c r="E9" s="11">
        <v>0.09</v>
      </c>
      <c r="F9" s="32">
        <v>250</v>
      </c>
      <c r="H9" s="26" t="s">
        <v>118</v>
      </c>
      <c r="I9" s="25">
        <v>6960</v>
      </c>
    </row>
    <row r="10" spans="1:9" x14ac:dyDescent="0.25">
      <c r="A10" s="7" t="s">
        <v>38</v>
      </c>
      <c r="B10" s="6" t="s">
        <v>56</v>
      </c>
      <c r="C10" s="19" t="s">
        <v>50</v>
      </c>
      <c r="D10" s="6" t="s">
        <v>69</v>
      </c>
      <c r="E10" s="11">
        <v>0.09</v>
      </c>
      <c r="F10" s="20">
        <v>700</v>
      </c>
    </row>
    <row r="11" spans="1:9" x14ac:dyDescent="0.25">
      <c r="A11" s="7" t="s">
        <v>36</v>
      </c>
      <c r="B11" s="6" t="s">
        <v>57</v>
      </c>
      <c r="C11" s="19" t="s">
        <v>48</v>
      </c>
      <c r="D11" s="6" t="s">
        <v>67</v>
      </c>
      <c r="E11" s="11">
        <v>7.0000000000000007E-2</v>
      </c>
      <c r="F11" s="32">
        <v>550</v>
      </c>
    </row>
    <row r="12" spans="1:9" x14ac:dyDescent="0.25">
      <c r="A12" s="7" t="s">
        <v>36</v>
      </c>
      <c r="B12" s="6" t="s">
        <v>54</v>
      </c>
      <c r="C12" s="19" t="s">
        <v>49</v>
      </c>
      <c r="D12" s="6" t="s">
        <v>68</v>
      </c>
      <c r="E12" s="11">
        <v>7.0000000000000007E-2</v>
      </c>
      <c r="F12" s="20">
        <v>380</v>
      </c>
    </row>
    <row r="13" spans="1:9" x14ac:dyDescent="0.25">
      <c r="A13" s="7" t="s">
        <v>34</v>
      </c>
      <c r="B13" s="6" t="s">
        <v>42</v>
      </c>
      <c r="C13" s="19" t="s">
        <v>41</v>
      </c>
      <c r="D13" s="6" t="s">
        <v>59</v>
      </c>
      <c r="E13" s="11">
        <v>0.1</v>
      </c>
      <c r="F13" s="32">
        <v>700</v>
      </c>
    </row>
    <row r="14" spans="1:9" x14ac:dyDescent="0.25">
      <c r="A14" s="7" t="s">
        <v>34</v>
      </c>
      <c r="B14" s="6" t="s">
        <v>42</v>
      </c>
      <c r="C14" s="19" t="s">
        <v>40</v>
      </c>
      <c r="D14" s="6" t="s">
        <v>58</v>
      </c>
      <c r="E14" s="11">
        <v>0.1</v>
      </c>
      <c r="F14" s="20">
        <v>400</v>
      </c>
    </row>
    <row r="15" spans="1:9" x14ac:dyDescent="0.25">
      <c r="A15" s="7" t="s">
        <v>37</v>
      </c>
      <c r="B15" s="6" t="s">
        <v>139</v>
      </c>
      <c r="C15" s="19" t="s">
        <v>44</v>
      </c>
      <c r="D15" s="6" t="s">
        <v>63</v>
      </c>
      <c r="E15" s="11">
        <v>0.06</v>
      </c>
      <c r="F15" s="32">
        <v>350</v>
      </c>
    </row>
    <row r="16" spans="1:9" x14ac:dyDescent="0.25">
      <c r="A16" s="7" t="s">
        <v>37</v>
      </c>
      <c r="B16" s="6" t="s">
        <v>54</v>
      </c>
      <c r="C16" s="19" t="s">
        <v>39</v>
      </c>
      <c r="D16" s="6" t="s">
        <v>61</v>
      </c>
      <c r="E16" s="11">
        <v>0.06</v>
      </c>
      <c r="F16" s="20">
        <v>200</v>
      </c>
    </row>
    <row r="17" spans="1:6" x14ac:dyDescent="0.25">
      <c r="A17" s="7" t="s">
        <v>37</v>
      </c>
      <c r="B17" s="6" t="s">
        <v>139</v>
      </c>
      <c r="C17" s="19" t="s">
        <v>43</v>
      </c>
      <c r="D17" s="6" t="s">
        <v>62</v>
      </c>
      <c r="E17" s="11">
        <v>0.06</v>
      </c>
      <c r="F17" s="32">
        <v>770</v>
      </c>
    </row>
    <row r="18" spans="1:6" x14ac:dyDescent="0.25">
      <c r="A18" s="7" t="s">
        <v>37</v>
      </c>
      <c r="B18" s="6" t="s">
        <v>54</v>
      </c>
      <c r="C18" s="19" t="s">
        <v>33</v>
      </c>
      <c r="D18" s="6" t="s">
        <v>60</v>
      </c>
      <c r="E18" s="11">
        <v>300</v>
      </c>
      <c r="F18" s="20">
        <v>400</v>
      </c>
    </row>
    <row r="19" spans="1:6" x14ac:dyDescent="0.25">
      <c r="C19" s="19" t="s">
        <v>138</v>
      </c>
      <c r="E19" s="33"/>
      <c r="F19" s="34">
        <f>SUBTOTAL(109,Tabela2[VALOR DAS VENDAS])</f>
        <v>6960</v>
      </c>
    </row>
    <row r="21" spans="1:6" ht="23.25" x14ac:dyDescent="0.25">
      <c r="A21" s="40" t="s">
        <v>116</v>
      </c>
      <c r="B21" s="40"/>
      <c r="C21" s="40"/>
      <c r="D21" s="40"/>
      <c r="E21" s="40"/>
      <c r="F21" s="40"/>
    </row>
    <row r="23" spans="1:6" ht="30.75" thickBot="1" x14ac:dyDescent="0.3">
      <c r="A23" s="15" t="s">
        <v>31</v>
      </c>
      <c r="B23" s="16" t="s">
        <v>32</v>
      </c>
      <c r="C23" s="16" t="s">
        <v>73</v>
      </c>
      <c r="D23" s="16" t="s">
        <v>85</v>
      </c>
    </row>
    <row r="24" spans="1:6" ht="28.5" customHeight="1" thickTop="1" x14ac:dyDescent="0.25">
      <c r="A24" s="31" t="s">
        <v>41</v>
      </c>
      <c r="B24" s="21">
        <f>VLOOKUP(A24,Tabela2[[#All],[NOME DO FUNCIONÁRIO]:[VALOR DAS VENDAS]],3,0)</f>
        <v>0.1</v>
      </c>
      <c r="C24" s="22">
        <f>VLOOKUP(A24,Tabela2[[#All],[NOME DO FUNCIONÁRIO]:[VALOR DAS VENDAS]],4,0)</f>
        <v>700</v>
      </c>
      <c r="D24" s="22">
        <f>B24*C24</f>
        <v>70</v>
      </c>
    </row>
    <row r="25" spans="1:6" ht="27.75" customHeight="1" x14ac:dyDescent="0.25"/>
    <row r="26" spans="1:6" ht="30.75" thickBot="1" x14ac:dyDescent="0.3">
      <c r="A26" s="17" t="s">
        <v>28</v>
      </c>
      <c r="B26" s="18" t="s">
        <v>86</v>
      </c>
    </row>
    <row r="27" spans="1:6" ht="36" customHeight="1" thickTop="1" x14ac:dyDescent="0.25">
      <c r="A27" s="24" t="s">
        <v>38</v>
      </c>
      <c r="B27" s="23">
        <f ca="1">SUMPRODUCT(SUBTOTAL(9,OFFSET(F4,ROW(F4:F18)-ROW(F4),0)),(A4:A18=A27)+0)</f>
        <v>1650</v>
      </c>
    </row>
    <row r="28" spans="1:6" ht="27.75" customHeight="1" x14ac:dyDescent="0.25">
      <c r="A28" s="6"/>
    </row>
    <row r="29" spans="1:6" ht="49.5" customHeight="1" thickBot="1" x14ac:dyDescent="0.3">
      <c r="A29" s="30" t="s">
        <v>140</v>
      </c>
      <c r="B29" s="18" t="s">
        <v>86</v>
      </c>
    </row>
    <row r="30" spans="1:6" ht="34.5" customHeight="1" thickTop="1" x14ac:dyDescent="0.25">
      <c r="A30" s="29" t="s">
        <v>139</v>
      </c>
      <c r="B30" s="28">
        <f>SUMIF(Tabela2[UF],A30,Tabela2[VALOR DAS VENDAS])</f>
        <v>1630</v>
      </c>
    </row>
    <row r="33" spans="1:7" ht="30.75" thickBot="1" x14ac:dyDescent="0.3">
      <c r="A33" s="17" t="s">
        <v>28</v>
      </c>
      <c r="B33" s="15" t="s">
        <v>29</v>
      </c>
      <c r="C33" s="15" t="s">
        <v>31</v>
      </c>
      <c r="D33" s="15" t="s">
        <v>147</v>
      </c>
      <c r="E33" s="15" t="s">
        <v>146</v>
      </c>
      <c r="F33" s="15" t="s">
        <v>148</v>
      </c>
      <c r="G33" s="15" t="s">
        <v>149</v>
      </c>
    </row>
    <row r="34" spans="1:7" ht="15.75" thickTop="1" x14ac:dyDescent="0.25">
      <c r="A34" s="45" t="s">
        <v>35</v>
      </c>
      <c r="B34" s="46" t="s">
        <v>55</v>
      </c>
      <c r="C34" s="47" t="s">
        <v>45</v>
      </c>
      <c r="D34" s="20">
        <v>630</v>
      </c>
      <c r="E34" s="20">
        <v>630</v>
      </c>
      <c r="F34" s="20">
        <f>D34-E34</f>
        <v>0</v>
      </c>
      <c r="G34" s="55" t="str">
        <f>IF(F34&gt;1,"SIM","NÃO")</f>
        <v>NÃO</v>
      </c>
    </row>
    <row r="35" spans="1:7" x14ac:dyDescent="0.25">
      <c r="A35" s="48" t="s">
        <v>35</v>
      </c>
      <c r="B35" s="49" t="s">
        <v>55</v>
      </c>
      <c r="C35" s="50" t="s">
        <v>47</v>
      </c>
      <c r="D35" s="32">
        <v>420</v>
      </c>
      <c r="E35" s="32">
        <v>570</v>
      </c>
      <c r="F35" s="32">
        <f t="shared" ref="F35:F48" si="0">D35-E35</f>
        <v>-150</v>
      </c>
      <c r="G35" s="56" t="str">
        <f t="shared" ref="G35:G48" si="1">IF(F35&gt;1,"SIM","NÃO")</f>
        <v>NÃO</v>
      </c>
    </row>
    <row r="36" spans="1:7" x14ac:dyDescent="0.25">
      <c r="A36" s="45" t="s">
        <v>35</v>
      </c>
      <c r="B36" s="46" t="s">
        <v>139</v>
      </c>
      <c r="C36" s="47" t="s">
        <v>46</v>
      </c>
      <c r="D36" s="20">
        <v>510</v>
      </c>
      <c r="E36" s="20">
        <v>900</v>
      </c>
      <c r="F36" s="20">
        <f t="shared" si="0"/>
        <v>-390</v>
      </c>
      <c r="G36" s="55" t="str">
        <f t="shared" si="1"/>
        <v>NÃO</v>
      </c>
    </row>
    <row r="37" spans="1:7" x14ac:dyDescent="0.25">
      <c r="A37" s="48" t="s">
        <v>38</v>
      </c>
      <c r="B37" s="49" t="s">
        <v>56</v>
      </c>
      <c r="C37" s="50" t="s">
        <v>51</v>
      </c>
      <c r="D37" s="32">
        <v>430</v>
      </c>
      <c r="E37" s="32">
        <v>310</v>
      </c>
      <c r="F37" s="32">
        <f t="shared" si="0"/>
        <v>120</v>
      </c>
      <c r="G37" s="56" t="str">
        <f t="shared" si="1"/>
        <v>SIM</v>
      </c>
    </row>
    <row r="38" spans="1:7" x14ac:dyDescent="0.25">
      <c r="A38" s="45" t="s">
        <v>38</v>
      </c>
      <c r="B38" s="46" t="s">
        <v>56</v>
      </c>
      <c r="C38" s="47" t="s">
        <v>53</v>
      </c>
      <c r="D38" s="20">
        <v>270</v>
      </c>
      <c r="E38" s="20">
        <v>290</v>
      </c>
      <c r="F38" s="20">
        <f t="shared" si="0"/>
        <v>-20</v>
      </c>
      <c r="G38" s="55" t="str">
        <f t="shared" si="1"/>
        <v>NÃO</v>
      </c>
    </row>
    <row r="39" spans="1:7" x14ac:dyDescent="0.25">
      <c r="A39" s="48" t="s">
        <v>38</v>
      </c>
      <c r="B39" s="49" t="s">
        <v>56</v>
      </c>
      <c r="C39" s="50" t="s">
        <v>52</v>
      </c>
      <c r="D39" s="32">
        <v>250</v>
      </c>
      <c r="E39" s="32">
        <v>180</v>
      </c>
      <c r="F39" s="32">
        <f t="shared" si="0"/>
        <v>70</v>
      </c>
      <c r="G39" s="56" t="str">
        <f t="shared" si="1"/>
        <v>SIM</v>
      </c>
    </row>
    <row r="40" spans="1:7" x14ac:dyDescent="0.25">
      <c r="A40" s="45" t="s">
        <v>38</v>
      </c>
      <c r="B40" s="46" t="s">
        <v>56</v>
      </c>
      <c r="C40" s="47" t="s">
        <v>50</v>
      </c>
      <c r="D40" s="20">
        <v>700</v>
      </c>
      <c r="E40" s="20">
        <v>600</v>
      </c>
      <c r="F40" s="20">
        <f t="shared" si="0"/>
        <v>100</v>
      </c>
      <c r="G40" s="55" t="str">
        <f t="shared" si="1"/>
        <v>SIM</v>
      </c>
    </row>
    <row r="41" spans="1:7" x14ac:dyDescent="0.25">
      <c r="A41" s="48" t="s">
        <v>36</v>
      </c>
      <c r="B41" s="49" t="s">
        <v>57</v>
      </c>
      <c r="C41" s="50" t="s">
        <v>48</v>
      </c>
      <c r="D41" s="32">
        <v>550</v>
      </c>
      <c r="E41" s="32">
        <v>600</v>
      </c>
      <c r="F41" s="32">
        <f t="shared" si="0"/>
        <v>-50</v>
      </c>
      <c r="G41" s="56" t="str">
        <f t="shared" si="1"/>
        <v>NÃO</v>
      </c>
    </row>
    <row r="42" spans="1:7" x14ac:dyDescent="0.25">
      <c r="A42" s="45" t="s">
        <v>36</v>
      </c>
      <c r="B42" s="46" t="s">
        <v>54</v>
      </c>
      <c r="C42" s="47" t="s">
        <v>49</v>
      </c>
      <c r="D42" s="20">
        <v>380</v>
      </c>
      <c r="E42" s="20">
        <v>320</v>
      </c>
      <c r="F42" s="20">
        <f t="shared" si="0"/>
        <v>60</v>
      </c>
      <c r="G42" s="55" t="str">
        <f t="shared" si="1"/>
        <v>SIM</v>
      </c>
    </row>
    <row r="43" spans="1:7" x14ac:dyDescent="0.25">
      <c r="A43" s="48" t="s">
        <v>34</v>
      </c>
      <c r="B43" s="49" t="s">
        <v>42</v>
      </c>
      <c r="C43" s="50" t="s">
        <v>41</v>
      </c>
      <c r="D43" s="32">
        <v>700</v>
      </c>
      <c r="E43" s="32">
        <v>650</v>
      </c>
      <c r="F43" s="32">
        <f t="shared" si="0"/>
        <v>50</v>
      </c>
      <c r="G43" s="56" t="str">
        <f t="shared" si="1"/>
        <v>SIM</v>
      </c>
    </row>
    <row r="44" spans="1:7" x14ac:dyDescent="0.25">
      <c r="A44" s="45" t="s">
        <v>34</v>
      </c>
      <c r="B44" s="46" t="s">
        <v>42</v>
      </c>
      <c r="C44" s="47" t="s">
        <v>40</v>
      </c>
      <c r="D44" s="20">
        <v>400</v>
      </c>
      <c r="E44" s="20">
        <v>700</v>
      </c>
      <c r="F44" s="20">
        <f t="shared" si="0"/>
        <v>-300</v>
      </c>
      <c r="G44" s="55" t="str">
        <f t="shared" si="1"/>
        <v>NÃO</v>
      </c>
    </row>
    <row r="45" spans="1:7" x14ac:dyDescent="0.25">
      <c r="A45" s="48" t="s">
        <v>37</v>
      </c>
      <c r="B45" s="49" t="s">
        <v>139</v>
      </c>
      <c r="C45" s="50" t="s">
        <v>44</v>
      </c>
      <c r="D45" s="32">
        <v>350</v>
      </c>
      <c r="E45" s="32">
        <v>350</v>
      </c>
      <c r="F45" s="32">
        <f t="shared" si="0"/>
        <v>0</v>
      </c>
      <c r="G45" s="56" t="str">
        <f t="shared" si="1"/>
        <v>NÃO</v>
      </c>
    </row>
    <row r="46" spans="1:7" x14ac:dyDescent="0.25">
      <c r="A46" s="45" t="s">
        <v>37</v>
      </c>
      <c r="B46" s="46" t="s">
        <v>54</v>
      </c>
      <c r="C46" s="47" t="s">
        <v>39</v>
      </c>
      <c r="D46" s="20">
        <v>200</v>
      </c>
      <c r="E46" s="20">
        <v>300</v>
      </c>
      <c r="F46" s="20">
        <f t="shared" si="0"/>
        <v>-100</v>
      </c>
      <c r="G46" s="55" t="str">
        <f t="shared" si="1"/>
        <v>NÃO</v>
      </c>
    </row>
    <row r="47" spans="1:7" x14ac:dyDescent="0.25">
      <c r="A47" s="48" t="s">
        <v>37</v>
      </c>
      <c r="B47" s="49" t="s">
        <v>139</v>
      </c>
      <c r="C47" s="50" t="s">
        <v>43</v>
      </c>
      <c r="D47" s="32">
        <v>770</v>
      </c>
      <c r="E47" s="32">
        <v>620</v>
      </c>
      <c r="F47" s="32">
        <f t="shared" si="0"/>
        <v>150</v>
      </c>
      <c r="G47" s="56" t="str">
        <f t="shared" si="1"/>
        <v>SIM</v>
      </c>
    </row>
    <row r="48" spans="1:7" ht="15.75" thickBot="1" x14ac:dyDescent="0.3">
      <c r="A48" s="45" t="s">
        <v>37</v>
      </c>
      <c r="B48" s="46" t="s">
        <v>54</v>
      </c>
      <c r="C48" s="47" t="s">
        <v>33</v>
      </c>
      <c r="D48" s="20">
        <v>400</v>
      </c>
      <c r="E48" s="20">
        <v>340</v>
      </c>
      <c r="F48" s="20">
        <f t="shared" si="0"/>
        <v>60</v>
      </c>
      <c r="G48" s="55" t="str">
        <f t="shared" si="1"/>
        <v>SIM</v>
      </c>
    </row>
    <row r="49" spans="1:7" ht="41.25" customHeight="1" thickTop="1" x14ac:dyDescent="0.25">
      <c r="A49" s="51"/>
      <c r="B49" s="52"/>
      <c r="C49" s="53"/>
      <c r="D49" s="54">
        <f>SUM(D34:D48)</f>
        <v>6960</v>
      </c>
      <c r="E49" s="54">
        <f>SUM(E34:E48)</f>
        <v>7360</v>
      </c>
      <c r="F49" s="57" t="s">
        <v>150</v>
      </c>
      <c r="G49" s="58"/>
    </row>
    <row r="50" spans="1:7" ht="27.75" customHeight="1" x14ac:dyDescent="0.25">
      <c r="F50" s="59">
        <f>COUNTIF(G34:G48,"SIM")</f>
        <v>7</v>
      </c>
      <c r="G50" s="59"/>
    </row>
    <row r="53" spans="1:7" ht="28.5" customHeight="1" x14ac:dyDescent="0.25"/>
  </sheetData>
  <autoFilter ref="A33:G49" xr:uid="{46F3D382-6F30-474C-A576-18170723FD0A}"/>
  <mergeCells count="4">
    <mergeCell ref="F50:G50"/>
    <mergeCell ref="F49:G49"/>
    <mergeCell ref="A21:F21"/>
    <mergeCell ref="A1:F1"/>
  </mergeCells>
  <conditionalFormatting sqref="A4:F18">
    <cfRule type="expression" dxfId="14" priority="9">
      <formula>ROW()=CELL("LIN")</formula>
    </cfRule>
  </conditionalFormatting>
  <conditionalFormatting sqref="A34:C48">
    <cfRule type="expression" dxfId="13" priority="8">
      <formula>ROW()=CELL("LIN")</formula>
    </cfRule>
  </conditionalFormatting>
  <conditionalFormatting sqref="D34:D48">
    <cfRule type="expression" dxfId="12" priority="7">
      <formula>ROW()=CELL("LIN")</formula>
    </cfRule>
  </conditionalFormatting>
  <conditionalFormatting sqref="E34:E48">
    <cfRule type="expression" dxfId="11" priority="6">
      <formula>ROW()=CELL("LIN")</formula>
    </cfRule>
  </conditionalFormatting>
  <conditionalFormatting sqref="F34:F48">
    <cfRule type="cellIs" dxfId="10" priority="3" operator="lessThan">
      <formula>-1</formula>
    </cfRule>
    <cfRule type="cellIs" dxfId="9" priority="4" operator="greaterThan">
      <formula>0</formula>
    </cfRule>
    <cfRule type="expression" dxfId="8" priority="5">
      <formula>ROW()=CELL("LIN")</formula>
    </cfRule>
  </conditionalFormatting>
  <conditionalFormatting sqref="G34:G48">
    <cfRule type="expression" dxfId="6" priority="1">
      <formula>ROW()=CELL("LIN")</formula>
    </cfRule>
  </conditionalFormatting>
  <dataValidations count="3">
    <dataValidation type="list" allowBlank="1" showInputMessage="1" showErrorMessage="1" prompt="Selecione o funcionário" sqref="A24" xr:uid="{CD26EAAA-CBAF-4D63-A0ED-2213DE753E15}">
      <formula1>$C$4:$C$19</formula1>
    </dataValidation>
    <dataValidation type="list" allowBlank="1" showInputMessage="1" showErrorMessage="1" prompt="Selecione a Loja" sqref="A27" xr:uid="{149825FF-D2E4-4E20-9FE9-C9235916CC58}">
      <formula1>"CIA DO PAPEL, ESPACIAL PAPELARIA, MULTIPAPEL, PAPELARIA CHIQUE, PAPELARIA HIGH TECH"</formula1>
    </dataValidation>
    <dataValidation type="list" allowBlank="1" showInputMessage="1" showErrorMessage="1" prompt="Selecione a Loja" sqref="A30" xr:uid="{45344685-F856-4842-A94D-321E7E32E9DA}">
      <formula1>"AL, AP, AM, BA, CE, DF, ES, GO, MA, MT, MS, MG, PA, PB, PE, PI, PR, RJ, RN, RS, RO, RR, SC, SP, SE, TO"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A617-E047-4C01-A06E-3CC98378B67B}">
  <sheetPr codeName="Planilha1"/>
  <dimension ref="A4:I59"/>
  <sheetViews>
    <sheetView zoomScale="90" zoomScaleNormal="90" workbookViewId="0">
      <selection activeCell="G4" sqref="G4:G5"/>
    </sheetView>
  </sheetViews>
  <sheetFormatPr defaultRowHeight="15" x14ac:dyDescent="0.25"/>
  <cols>
    <col min="1" max="1" width="11.7109375" style="13" customWidth="1"/>
    <col min="2" max="2" width="52" customWidth="1"/>
    <col min="3" max="3" width="16.28515625" style="1" customWidth="1"/>
    <col min="4" max="4" width="14.85546875" style="2" customWidth="1"/>
    <col min="5" max="5" width="17.85546875" style="36" customWidth="1"/>
    <col min="6" max="6" width="14.85546875" style="2" customWidth="1"/>
    <col min="7" max="7" width="18" customWidth="1"/>
    <col min="8" max="8" width="11.140625" customWidth="1"/>
    <col min="9" max="9" width="13.28515625" style="38" bestFit="1" customWidth="1"/>
  </cols>
  <sheetData>
    <row r="4" spans="1:9" ht="15" customHeight="1" x14ac:dyDescent="0.25">
      <c r="C4" s="41" t="s">
        <v>145</v>
      </c>
      <c r="D4" s="41"/>
      <c r="E4" s="41"/>
      <c r="F4" s="41"/>
      <c r="G4" s="43">
        <f>I57</f>
        <v>70339.5</v>
      </c>
    </row>
    <row r="5" spans="1:9" ht="15" customHeight="1" thickBot="1" x14ac:dyDescent="0.3">
      <c r="C5" s="42"/>
      <c r="D5" s="42"/>
      <c r="E5" s="42"/>
      <c r="F5" s="42"/>
      <c r="G5" s="44"/>
    </row>
    <row r="8" spans="1:9" ht="31.5" customHeight="1" x14ac:dyDescent="0.25">
      <c r="A8" s="14" t="s">
        <v>115</v>
      </c>
      <c r="B8" s="5" t="s">
        <v>0</v>
      </c>
      <c r="C8" s="3" t="s">
        <v>2</v>
      </c>
      <c r="D8" s="4" t="s">
        <v>1</v>
      </c>
      <c r="E8" s="35" t="s">
        <v>141</v>
      </c>
      <c r="F8" s="4" t="s">
        <v>121</v>
      </c>
      <c r="G8" s="4" t="s">
        <v>112</v>
      </c>
    </row>
    <row r="9" spans="1:9" x14ac:dyDescent="0.25">
      <c r="A9" s="13">
        <v>1001</v>
      </c>
      <c r="B9" t="s">
        <v>3</v>
      </c>
      <c r="C9" s="1" t="s">
        <v>4</v>
      </c>
      <c r="D9" s="2">
        <v>25.9</v>
      </c>
      <c r="E9" s="36">
        <v>30</v>
      </c>
      <c r="F9" s="2" t="s">
        <v>130</v>
      </c>
      <c r="G9" s="2" t="s">
        <v>113</v>
      </c>
      <c r="I9" s="39">
        <f>Tabela1[[#This Row],[VALOR UNITÁRIO]]*Tabela1[[#This Row],[QTDE MÍNIMA EM ESTOQUE]]</f>
        <v>777</v>
      </c>
    </row>
    <row r="10" spans="1:9" x14ac:dyDescent="0.25">
      <c r="A10" s="13">
        <v>1081</v>
      </c>
      <c r="B10" t="s">
        <v>5</v>
      </c>
      <c r="C10" s="1" t="s">
        <v>4</v>
      </c>
      <c r="D10" s="2">
        <v>30.15</v>
      </c>
      <c r="E10" s="36">
        <v>30</v>
      </c>
      <c r="F10" s="2" t="s">
        <v>130</v>
      </c>
      <c r="G10" s="2" t="s">
        <v>114</v>
      </c>
      <c r="I10" s="39">
        <f>Tabela1[[#This Row],[VALOR UNITÁRIO]]*Tabela1[[#This Row],[QTDE MÍNIMA EM ESTOQUE]]</f>
        <v>904.5</v>
      </c>
    </row>
    <row r="11" spans="1:9" x14ac:dyDescent="0.25">
      <c r="A11" s="13">
        <v>1161</v>
      </c>
      <c r="B11" t="s">
        <v>6</v>
      </c>
      <c r="C11" s="1" t="s">
        <v>7</v>
      </c>
      <c r="D11" s="2">
        <v>15.2</v>
      </c>
      <c r="E11" s="36">
        <v>40</v>
      </c>
      <c r="F11" s="2" t="s">
        <v>130</v>
      </c>
      <c r="G11" s="2" t="s">
        <v>114</v>
      </c>
      <c r="I11" s="39">
        <f>Tabela1[[#This Row],[VALOR UNITÁRIO]]*Tabela1[[#This Row],[QTDE MÍNIMA EM ESTOQUE]]</f>
        <v>608</v>
      </c>
    </row>
    <row r="12" spans="1:9" x14ac:dyDescent="0.25">
      <c r="A12" s="13">
        <v>1481</v>
      </c>
      <c r="B12" t="s">
        <v>100</v>
      </c>
      <c r="C12" s="1" t="s">
        <v>101</v>
      </c>
      <c r="D12" s="2">
        <v>422</v>
      </c>
      <c r="E12" s="36">
        <v>10</v>
      </c>
      <c r="F12" s="2" t="s">
        <v>130</v>
      </c>
      <c r="G12" s="2" t="s">
        <v>113</v>
      </c>
      <c r="I12" s="39">
        <f>Tabela1[[#This Row],[VALOR UNITÁRIO]]*Tabela1[[#This Row],[QTDE MÍNIMA EM ESTOQUE]]</f>
        <v>4220</v>
      </c>
    </row>
    <row r="13" spans="1:9" x14ac:dyDescent="0.25">
      <c r="A13" s="13">
        <v>1561</v>
      </c>
      <c r="B13" t="s">
        <v>98</v>
      </c>
      <c r="C13" s="1" t="s">
        <v>99</v>
      </c>
      <c r="D13" s="2">
        <v>536</v>
      </c>
      <c r="E13" s="36">
        <v>10</v>
      </c>
      <c r="F13" s="2" t="s">
        <v>130</v>
      </c>
      <c r="G13" s="2" t="s">
        <v>114</v>
      </c>
      <c r="I13" s="39">
        <f>Tabela1[[#This Row],[VALOR UNITÁRIO]]*Tabela1[[#This Row],[QTDE MÍNIMA EM ESTOQUE]]</f>
        <v>5360</v>
      </c>
    </row>
    <row r="14" spans="1:9" x14ac:dyDescent="0.25">
      <c r="A14" s="13">
        <v>3672.5</v>
      </c>
      <c r="B14" t="s">
        <v>26</v>
      </c>
      <c r="C14" s="1" t="s">
        <v>27</v>
      </c>
      <c r="D14" s="2">
        <v>3.7</v>
      </c>
      <c r="E14" s="36">
        <v>20</v>
      </c>
      <c r="F14" s="2" t="s">
        <v>130</v>
      </c>
      <c r="G14" s="2" t="s">
        <v>114</v>
      </c>
      <c r="I14" s="39">
        <f>Tabela1[[#This Row],[VALOR UNITÁRIO]]*Tabela1[[#This Row],[QTDE MÍNIMA EM ESTOQUE]]</f>
        <v>74</v>
      </c>
    </row>
    <row r="15" spans="1:9" x14ac:dyDescent="0.25">
      <c r="A15" s="13">
        <v>4123.5</v>
      </c>
      <c r="B15" t="s">
        <v>76</v>
      </c>
      <c r="C15" s="1" t="s">
        <v>27</v>
      </c>
      <c r="D15" s="2">
        <v>34</v>
      </c>
      <c r="E15" s="36">
        <v>40</v>
      </c>
      <c r="F15" s="2" t="s">
        <v>130</v>
      </c>
      <c r="G15" s="2" t="s">
        <v>114</v>
      </c>
      <c r="I15" s="39">
        <f>Tabela1[[#This Row],[VALOR UNITÁRIO]]*Tabela1[[#This Row],[QTDE MÍNIMA EM ESTOQUE]]</f>
        <v>1360</v>
      </c>
    </row>
    <row r="16" spans="1:9" x14ac:dyDescent="0.25">
      <c r="A16" s="13">
        <v>4349</v>
      </c>
      <c r="B16" t="s">
        <v>105</v>
      </c>
      <c r="C16" s="1" t="s">
        <v>106</v>
      </c>
      <c r="D16" s="2">
        <v>12.6</v>
      </c>
      <c r="E16" s="36">
        <v>30</v>
      </c>
      <c r="F16" s="2" t="s">
        <v>130</v>
      </c>
      <c r="G16" s="2" t="s">
        <v>114</v>
      </c>
      <c r="I16" s="39">
        <f>Tabela1[[#This Row],[VALOR UNITÁRIO]]*Tabela1[[#This Row],[QTDE MÍNIMA EM ESTOQUE]]</f>
        <v>378</v>
      </c>
    </row>
    <row r="17" spans="1:9" x14ac:dyDescent="0.25">
      <c r="A17" s="13">
        <v>4574.5</v>
      </c>
      <c r="B17" t="s">
        <v>107</v>
      </c>
      <c r="C17" s="1" t="s">
        <v>108</v>
      </c>
      <c r="D17" s="2">
        <v>130</v>
      </c>
      <c r="E17" s="36">
        <v>30</v>
      </c>
      <c r="F17" s="2" t="s">
        <v>130</v>
      </c>
      <c r="G17" s="2" t="s">
        <v>114</v>
      </c>
      <c r="I17" s="39">
        <f>Tabela1[[#This Row],[VALOR UNITÁRIO]]*Tabela1[[#This Row],[QTDE MÍNIMA EM ESTOQUE]]</f>
        <v>3900</v>
      </c>
    </row>
    <row r="18" spans="1:9" x14ac:dyDescent="0.25">
      <c r="A18" s="13">
        <v>4800</v>
      </c>
      <c r="B18" t="s">
        <v>77</v>
      </c>
      <c r="C18" s="1" t="s">
        <v>14</v>
      </c>
      <c r="D18" s="2">
        <v>8.9</v>
      </c>
      <c r="E18" s="36">
        <v>70</v>
      </c>
      <c r="F18" s="2" t="s">
        <v>130</v>
      </c>
      <c r="G18" s="2" t="s">
        <v>114</v>
      </c>
      <c r="I18" s="39">
        <f>Tabela1[[#This Row],[VALOR UNITÁRIO]]*Tabela1[[#This Row],[QTDE MÍNIMA EM ESTOQUE]]</f>
        <v>623</v>
      </c>
    </row>
    <row r="19" spans="1:9" x14ac:dyDescent="0.25">
      <c r="A19" s="13">
        <v>5025.5</v>
      </c>
      <c r="B19" t="s">
        <v>78</v>
      </c>
      <c r="C19" s="1" t="s">
        <v>84</v>
      </c>
      <c r="D19" s="2">
        <v>18.899999999999999</v>
      </c>
      <c r="E19" s="36">
        <v>40</v>
      </c>
      <c r="F19" s="2" t="s">
        <v>130</v>
      </c>
      <c r="G19" s="2" t="s">
        <v>114</v>
      </c>
      <c r="I19" s="39">
        <f>Tabela1[[#This Row],[VALOR UNITÁRIO]]*Tabela1[[#This Row],[QTDE MÍNIMA EM ESTOQUE]]</f>
        <v>756</v>
      </c>
    </row>
    <row r="20" spans="1:9" x14ac:dyDescent="0.25">
      <c r="A20" s="13">
        <v>5251</v>
      </c>
      <c r="B20" t="s">
        <v>78</v>
      </c>
      <c r="C20" s="1" t="s">
        <v>27</v>
      </c>
      <c r="D20" s="2">
        <v>16</v>
      </c>
      <c r="E20" s="36">
        <v>40</v>
      </c>
      <c r="F20" s="2" t="s">
        <v>130</v>
      </c>
      <c r="G20" s="2" t="s">
        <v>113</v>
      </c>
      <c r="I20" s="39">
        <f>Tabela1[[#This Row],[VALOR UNITÁRIO]]*Tabela1[[#This Row],[QTDE MÍNIMA EM ESTOQUE]]</f>
        <v>640</v>
      </c>
    </row>
    <row r="21" spans="1:9" x14ac:dyDescent="0.25">
      <c r="A21" s="13">
        <v>5476.5</v>
      </c>
      <c r="B21" t="s">
        <v>104</v>
      </c>
      <c r="C21" s="1" t="s">
        <v>11</v>
      </c>
      <c r="D21" s="2">
        <v>14.5</v>
      </c>
      <c r="E21" s="36">
        <v>30</v>
      </c>
      <c r="F21" s="2" t="s">
        <v>130</v>
      </c>
      <c r="G21" s="2" t="s">
        <v>114</v>
      </c>
      <c r="I21" s="39">
        <f>Tabela1[[#This Row],[VALOR UNITÁRIO]]*Tabela1[[#This Row],[QTDE MÍNIMA EM ESTOQUE]]</f>
        <v>435</v>
      </c>
    </row>
    <row r="22" spans="1:9" x14ac:dyDescent="0.25">
      <c r="A22" s="13">
        <v>5702</v>
      </c>
      <c r="B22" t="s">
        <v>102</v>
      </c>
      <c r="C22" s="1" t="s">
        <v>103</v>
      </c>
      <c r="D22" s="2">
        <v>17.3</v>
      </c>
      <c r="E22" s="36">
        <v>30</v>
      </c>
      <c r="F22" s="2" t="s">
        <v>130</v>
      </c>
      <c r="G22" s="2" t="s">
        <v>114</v>
      </c>
      <c r="I22" s="39">
        <f>Tabela1[[#This Row],[VALOR UNITÁRIO]]*Tabela1[[#This Row],[QTDE MÍNIMA EM ESTOQUE]]</f>
        <v>519</v>
      </c>
    </row>
    <row r="23" spans="1:9" x14ac:dyDescent="0.25">
      <c r="A23" s="13">
        <v>6378.5</v>
      </c>
      <c r="B23" t="s">
        <v>81</v>
      </c>
      <c r="C23" s="1" t="s">
        <v>27</v>
      </c>
      <c r="D23" s="2">
        <v>26</v>
      </c>
      <c r="E23" s="36">
        <v>30</v>
      </c>
      <c r="F23" s="2" t="s">
        <v>130</v>
      </c>
      <c r="G23" s="2" t="s">
        <v>114</v>
      </c>
      <c r="I23" s="39">
        <f>Tabela1[[#This Row],[VALOR UNITÁRIO]]*Tabela1[[#This Row],[QTDE MÍNIMA EM ESTOQUE]]</f>
        <v>780</v>
      </c>
    </row>
    <row r="24" spans="1:9" x14ac:dyDescent="0.25">
      <c r="A24" s="13">
        <v>6604</v>
      </c>
      <c r="B24" t="s">
        <v>82</v>
      </c>
      <c r="C24" s="1" t="s">
        <v>11</v>
      </c>
      <c r="D24" s="2">
        <v>54</v>
      </c>
      <c r="E24" s="36">
        <v>10</v>
      </c>
      <c r="F24" s="2" t="s">
        <v>130</v>
      </c>
      <c r="G24" s="2" t="s">
        <v>114</v>
      </c>
      <c r="I24" s="39">
        <f>Tabela1[[#This Row],[VALOR UNITÁRIO]]*Tabela1[[#This Row],[QTDE MÍNIMA EM ESTOQUE]]</f>
        <v>540</v>
      </c>
    </row>
    <row r="25" spans="1:9" x14ac:dyDescent="0.25">
      <c r="A25" s="13">
        <v>6829.5</v>
      </c>
      <c r="B25" t="s">
        <v>83</v>
      </c>
      <c r="C25" s="1" t="s">
        <v>84</v>
      </c>
      <c r="D25" s="2">
        <v>2.2000000000000002</v>
      </c>
      <c r="E25" s="36">
        <v>50</v>
      </c>
      <c r="F25" s="2" t="s">
        <v>130</v>
      </c>
      <c r="G25" s="2" t="s">
        <v>114</v>
      </c>
      <c r="I25" s="39">
        <f>Tabela1[[#This Row],[VALOR UNITÁRIO]]*Tabela1[[#This Row],[QTDE MÍNIMA EM ESTOQUE]]</f>
        <v>110.00000000000001</v>
      </c>
    </row>
    <row r="26" spans="1:9" x14ac:dyDescent="0.25">
      <c r="A26" s="13">
        <v>7055</v>
      </c>
      <c r="B26" t="s">
        <v>87</v>
      </c>
      <c r="C26" s="1" t="s">
        <v>88</v>
      </c>
      <c r="D26" s="2">
        <v>3</v>
      </c>
      <c r="E26" s="36">
        <v>20</v>
      </c>
      <c r="F26" s="2" t="s">
        <v>130</v>
      </c>
      <c r="G26" s="2" t="s">
        <v>114</v>
      </c>
      <c r="I26" s="39">
        <f>Tabela1[[#This Row],[VALOR UNITÁRIO]]*Tabela1[[#This Row],[QTDE MÍNIMA EM ESTOQUE]]</f>
        <v>60</v>
      </c>
    </row>
    <row r="27" spans="1:9" x14ac:dyDescent="0.25">
      <c r="A27" s="13">
        <v>7957</v>
      </c>
      <c r="B27" t="s">
        <v>95</v>
      </c>
      <c r="C27" s="1" t="s">
        <v>84</v>
      </c>
      <c r="D27" s="2">
        <v>5.9</v>
      </c>
      <c r="E27" s="36">
        <v>50</v>
      </c>
      <c r="F27" s="2" t="s">
        <v>130</v>
      </c>
      <c r="G27" s="2" t="s">
        <v>113</v>
      </c>
      <c r="I27" s="39">
        <f>Tabela1[[#This Row],[VALOR UNITÁRIO]]*Tabela1[[#This Row],[QTDE MÍNIMA EM ESTOQUE]]</f>
        <v>295</v>
      </c>
    </row>
    <row r="28" spans="1:9" x14ac:dyDescent="0.25">
      <c r="A28" s="13">
        <v>8182.5</v>
      </c>
      <c r="B28" t="s">
        <v>122</v>
      </c>
      <c r="C28" s="1" t="s">
        <v>123</v>
      </c>
      <c r="D28" s="2">
        <v>157</v>
      </c>
      <c r="E28" s="36">
        <v>20</v>
      </c>
      <c r="F28" s="2" t="s">
        <v>132</v>
      </c>
      <c r="G28" s="2" t="s">
        <v>114</v>
      </c>
      <c r="I28" s="39">
        <f>Tabela1[[#This Row],[VALOR UNITÁRIO]]*Tabela1[[#This Row],[QTDE MÍNIMA EM ESTOQUE]]</f>
        <v>3140</v>
      </c>
    </row>
    <row r="29" spans="1:9" x14ac:dyDescent="0.25">
      <c r="A29" s="13">
        <v>8408</v>
      </c>
      <c r="B29" t="s">
        <v>124</v>
      </c>
      <c r="C29" s="1" t="s">
        <v>125</v>
      </c>
      <c r="D29" s="2">
        <v>14</v>
      </c>
      <c r="E29" s="36">
        <v>50</v>
      </c>
      <c r="F29" s="2" t="s">
        <v>132</v>
      </c>
      <c r="G29" s="2" t="s">
        <v>113</v>
      </c>
      <c r="I29" s="39">
        <f>Tabela1[[#This Row],[VALOR UNITÁRIO]]*Tabela1[[#This Row],[QTDE MÍNIMA EM ESTOQUE]]</f>
        <v>700</v>
      </c>
    </row>
    <row r="30" spans="1:9" x14ac:dyDescent="0.25">
      <c r="A30" s="13">
        <v>8633.5</v>
      </c>
      <c r="B30" t="s">
        <v>126</v>
      </c>
      <c r="C30" s="1" t="s">
        <v>127</v>
      </c>
      <c r="D30" s="2">
        <v>16</v>
      </c>
      <c r="E30" s="36">
        <v>20</v>
      </c>
      <c r="F30" s="2" t="s">
        <v>132</v>
      </c>
      <c r="G30" s="2" t="s">
        <v>114</v>
      </c>
      <c r="I30" s="39">
        <f>Tabela1[[#This Row],[VALOR UNITÁRIO]]*Tabela1[[#This Row],[QTDE MÍNIMA EM ESTOQUE]]</f>
        <v>320</v>
      </c>
    </row>
    <row r="31" spans="1:9" x14ac:dyDescent="0.25">
      <c r="A31" s="13">
        <v>8859</v>
      </c>
      <c r="B31" t="s">
        <v>128</v>
      </c>
      <c r="C31" s="1" t="s">
        <v>129</v>
      </c>
      <c r="D31" s="2">
        <v>1299.9000000000001</v>
      </c>
      <c r="E31" s="36">
        <v>10</v>
      </c>
      <c r="F31" s="2" t="s">
        <v>132</v>
      </c>
      <c r="G31" s="2" t="s">
        <v>114</v>
      </c>
      <c r="I31" s="39">
        <f>Tabela1[[#This Row],[VALOR UNITÁRIO]]*Tabela1[[#This Row],[QTDE MÍNIMA EM ESTOQUE]]</f>
        <v>12999</v>
      </c>
    </row>
    <row r="32" spans="1:9" x14ac:dyDescent="0.25">
      <c r="A32" s="13">
        <v>9084.5</v>
      </c>
      <c r="B32" t="s">
        <v>133</v>
      </c>
      <c r="C32" s="1" t="s">
        <v>97</v>
      </c>
      <c r="D32" s="2">
        <v>2.1</v>
      </c>
      <c r="E32" s="36">
        <v>30</v>
      </c>
      <c r="F32" s="2" t="s">
        <v>132</v>
      </c>
      <c r="G32" s="2" t="s">
        <v>114</v>
      </c>
      <c r="I32" s="39">
        <f>Tabela1[[#This Row],[VALOR UNITÁRIO]]*Tabela1[[#This Row],[QTDE MÍNIMA EM ESTOQUE]]</f>
        <v>63</v>
      </c>
    </row>
    <row r="33" spans="1:9" x14ac:dyDescent="0.25">
      <c r="A33" s="13">
        <v>9310</v>
      </c>
      <c r="B33" t="s">
        <v>134</v>
      </c>
      <c r="C33" s="1" t="s">
        <v>135</v>
      </c>
      <c r="D33" s="2">
        <v>180</v>
      </c>
      <c r="E33" s="36">
        <v>20</v>
      </c>
      <c r="F33" s="2" t="s">
        <v>132</v>
      </c>
      <c r="G33" s="2" t="s">
        <v>114</v>
      </c>
      <c r="I33" s="39">
        <f>Tabela1[[#This Row],[VALOR UNITÁRIO]]*Tabela1[[#This Row],[QTDE MÍNIMA EM ESTOQUE]]</f>
        <v>3600</v>
      </c>
    </row>
    <row r="34" spans="1:9" x14ac:dyDescent="0.25">
      <c r="A34" s="13">
        <v>9535.5</v>
      </c>
      <c r="B34" t="s">
        <v>137</v>
      </c>
      <c r="C34" s="1" t="s">
        <v>136</v>
      </c>
      <c r="D34" s="2">
        <v>1400</v>
      </c>
      <c r="E34" s="36">
        <v>7</v>
      </c>
      <c r="F34" s="2" t="s">
        <v>132</v>
      </c>
      <c r="G34" s="2" t="s">
        <v>114</v>
      </c>
      <c r="I34" s="39">
        <f>Tabela1[[#This Row],[VALOR UNITÁRIO]]*Tabela1[[#This Row],[QTDE MÍNIMA EM ESTOQUE]]</f>
        <v>9800</v>
      </c>
    </row>
    <row r="35" spans="1:9" x14ac:dyDescent="0.25">
      <c r="A35" s="13">
        <v>1241</v>
      </c>
      <c r="B35" t="s">
        <v>8</v>
      </c>
      <c r="C35" t="s">
        <v>9</v>
      </c>
      <c r="D35" s="2">
        <v>3.9</v>
      </c>
      <c r="E35" s="36">
        <v>100</v>
      </c>
      <c r="F35" s="2" t="s">
        <v>131</v>
      </c>
      <c r="G35" s="2" t="s">
        <v>114</v>
      </c>
      <c r="I35" s="39">
        <f>Tabela1[[#This Row],[VALOR UNITÁRIO]]*Tabela1[[#This Row],[QTDE MÍNIMA EM ESTOQUE]]</f>
        <v>390</v>
      </c>
    </row>
    <row r="36" spans="1:9" x14ac:dyDescent="0.25">
      <c r="A36" s="13">
        <v>1321</v>
      </c>
      <c r="B36" t="s">
        <v>12</v>
      </c>
      <c r="C36" s="1" t="s">
        <v>11</v>
      </c>
      <c r="D36" s="2">
        <v>32.4</v>
      </c>
      <c r="E36" s="36">
        <v>100</v>
      </c>
      <c r="F36" s="2" t="s">
        <v>131</v>
      </c>
      <c r="G36" s="2" t="s">
        <v>114</v>
      </c>
      <c r="I36" s="39">
        <f>Tabela1[[#This Row],[VALOR UNITÁRIO]]*Tabela1[[#This Row],[QTDE MÍNIMA EM ESTOQUE]]</f>
        <v>3240</v>
      </c>
    </row>
    <row r="37" spans="1:9" x14ac:dyDescent="0.25">
      <c r="A37" s="13">
        <v>1401</v>
      </c>
      <c r="B37" t="s">
        <v>10</v>
      </c>
      <c r="C37" s="1" t="s">
        <v>11</v>
      </c>
      <c r="D37" s="2">
        <v>4.8</v>
      </c>
      <c r="E37" s="36">
        <v>100</v>
      </c>
      <c r="F37" s="2" t="s">
        <v>131</v>
      </c>
      <c r="G37" s="2" t="s">
        <v>113</v>
      </c>
      <c r="I37" s="39">
        <f>Tabela1[[#This Row],[VALOR UNITÁRIO]]*Tabela1[[#This Row],[QTDE MÍNIMA EM ESTOQUE]]</f>
        <v>480</v>
      </c>
    </row>
    <row r="38" spans="1:9" x14ac:dyDescent="0.25">
      <c r="A38" s="13">
        <v>2006</v>
      </c>
      <c r="B38" t="s">
        <v>96</v>
      </c>
      <c r="C38" s="1" t="s">
        <v>97</v>
      </c>
      <c r="D38" s="2">
        <v>77</v>
      </c>
      <c r="E38" s="36">
        <v>30</v>
      </c>
      <c r="F38" s="2" t="s">
        <v>131</v>
      </c>
      <c r="G38" s="2" t="s">
        <v>114</v>
      </c>
      <c r="I38" s="39">
        <f>Tabela1[[#This Row],[VALOR UNITÁRIO]]*Tabela1[[#This Row],[QTDE MÍNIMA EM ESTOQUE]]</f>
        <v>2310</v>
      </c>
    </row>
    <row r="39" spans="1:9" x14ac:dyDescent="0.25">
      <c r="A39" s="13">
        <v>2107</v>
      </c>
      <c r="B39" t="s">
        <v>13</v>
      </c>
      <c r="C39" s="1" t="s">
        <v>14</v>
      </c>
      <c r="D39" s="2">
        <v>5.2</v>
      </c>
      <c r="E39" s="36">
        <v>20</v>
      </c>
      <c r="F39" s="2" t="s">
        <v>131</v>
      </c>
      <c r="G39" s="2" t="s">
        <v>114</v>
      </c>
      <c r="I39" s="39">
        <f>Tabela1[[#This Row],[VALOR UNITÁRIO]]*Tabela1[[#This Row],[QTDE MÍNIMA EM ESTOQUE]]</f>
        <v>104</v>
      </c>
    </row>
    <row r="40" spans="1:9" x14ac:dyDescent="0.25">
      <c r="A40" s="13">
        <v>2208</v>
      </c>
      <c r="B40" t="s">
        <v>15</v>
      </c>
      <c r="C40" s="1" t="s">
        <v>14</v>
      </c>
      <c r="D40" s="2">
        <v>19</v>
      </c>
      <c r="E40" s="36">
        <v>20</v>
      </c>
      <c r="F40" s="2" t="s">
        <v>131</v>
      </c>
      <c r="G40" s="2" t="s">
        <v>114</v>
      </c>
      <c r="I40" s="39">
        <f>Tabela1[[#This Row],[VALOR UNITÁRIO]]*Tabela1[[#This Row],[QTDE MÍNIMA EM ESTOQUE]]</f>
        <v>380</v>
      </c>
    </row>
    <row r="41" spans="1:9" x14ac:dyDescent="0.25">
      <c r="A41" s="13">
        <v>2309</v>
      </c>
      <c r="B41" t="s">
        <v>16</v>
      </c>
      <c r="C41" s="1" t="s">
        <v>14</v>
      </c>
      <c r="D41" s="2">
        <v>17.2</v>
      </c>
      <c r="E41" s="36">
        <v>20</v>
      </c>
      <c r="F41" s="2" t="s">
        <v>131</v>
      </c>
      <c r="G41" s="2" t="s">
        <v>114</v>
      </c>
      <c r="I41" s="39">
        <f>Tabela1[[#This Row],[VALOR UNITÁRIO]]*Tabela1[[#This Row],[QTDE MÍNIMA EM ESTOQUE]]</f>
        <v>344</v>
      </c>
    </row>
    <row r="42" spans="1:9" x14ac:dyDescent="0.25">
      <c r="A42" s="13">
        <v>2410</v>
      </c>
      <c r="B42" t="s">
        <v>17</v>
      </c>
      <c r="C42" s="1" t="s">
        <v>14</v>
      </c>
      <c r="D42" s="2">
        <v>14</v>
      </c>
      <c r="E42" s="36">
        <v>20</v>
      </c>
      <c r="F42" s="2" t="s">
        <v>131</v>
      </c>
      <c r="G42" s="2" t="s">
        <v>114</v>
      </c>
      <c r="I42" s="39">
        <f>Tabela1[[#This Row],[VALOR UNITÁRIO]]*Tabela1[[#This Row],[QTDE MÍNIMA EM ESTOQUE]]</f>
        <v>280</v>
      </c>
    </row>
    <row r="43" spans="1:9" x14ac:dyDescent="0.25">
      <c r="A43" s="13">
        <v>2511</v>
      </c>
      <c r="B43" t="s">
        <v>18</v>
      </c>
      <c r="C43" s="1" t="s">
        <v>19</v>
      </c>
      <c r="D43" s="2">
        <v>6.1</v>
      </c>
      <c r="E43" s="36">
        <v>50</v>
      </c>
      <c r="F43" s="2" t="s">
        <v>131</v>
      </c>
      <c r="G43" s="2" t="s">
        <v>114</v>
      </c>
      <c r="I43" s="39">
        <f>Tabela1[[#This Row],[VALOR UNITÁRIO]]*Tabela1[[#This Row],[QTDE MÍNIMA EM ESTOQUE]]</f>
        <v>305</v>
      </c>
    </row>
    <row r="44" spans="1:9" x14ac:dyDescent="0.25">
      <c r="A44" s="13">
        <v>2612</v>
      </c>
      <c r="B44" t="s">
        <v>20</v>
      </c>
      <c r="C44" s="1" t="s">
        <v>21</v>
      </c>
      <c r="D44" s="2">
        <v>7</v>
      </c>
      <c r="E44" s="36">
        <v>50</v>
      </c>
      <c r="F44" s="2" t="s">
        <v>131</v>
      </c>
      <c r="G44" s="2" t="s">
        <v>114</v>
      </c>
      <c r="I44" s="39">
        <f>Tabela1[[#This Row],[VALOR UNITÁRIO]]*Tabela1[[#This Row],[QTDE MÍNIMA EM ESTOQUE]]</f>
        <v>350</v>
      </c>
    </row>
    <row r="45" spans="1:9" x14ac:dyDescent="0.25">
      <c r="A45" s="13">
        <v>2713</v>
      </c>
      <c r="B45" t="s">
        <v>22</v>
      </c>
      <c r="C45" s="1" t="s">
        <v>23</v>
      </c>
      <c r="D45" s="2">
        <v>3</v>
      </c>
      <c r="E45" s="36">
        <v>50</v>
      </c>
      <c r="F45" s="2" t="s">
        <v>131</v>
      </c>
      <c r="G45" s="2" t="s">
        <v>113</v>
      </c>
      <c r="I45" s="39">
        <f>Tabela1[[#This Row],[VALOR UNITÁRIO]]*Tabela1[[#This Row],[QTDE MÍNIMA EM ESTOQUE]]</f>
        <v>150</v>
      </c>
    </row>
    <row r="46" spans="1:9" x14ac:dyDescent="0.25">
      <c r="A46" s="13">
        <v>3111</v>
      </c>
      <c r="B46" t="s">
        <v>24</v>
      </c>
      <c r="C46" s="1" t="s">
        <v>25</v>
      </c>
      <c r="D46" s="2">
        <v>40</v>
      </c>
      <c r="E46" s="36">
        <v>40</v>
      </c>
      <c r="F46" s="2" t="s">
        <v>131</v>
      </c>
      <c r="G46" s="2" t="s">
        <v>114</v>
      </c>
      <c r="I46" s="39">
        <f>Tabela1[[#This Row],[VALOR UNITÁRIO]]*Tabela1[[#This Row],[QTDE MÍNIMA EM ESTOQUE]]</f>
        <v>1600</v>
      </c>
    </row>
    <row r="47" spans="1:9" x14ac:dyDescent="0.25">
      <c r="A47" s="13">
        <v>3164</v>
      </c>
      <c r="B47" t="s">
        <v>109</v>
      </c>
      <c r="C47" s="1" t="s">
        <v>21</v>
      </c>
      <c r="D47" s="2">
        <v>14</v>
      </c>
      <c r="E47" s="36">
        <v>60</v>
      </c>
      <c r="F47" s="2" t="s">
        <v>131</v>
      </c>
      <c r="G47" s="2" t="s">
        <v>114</v>
      </c>
      <c r="I47" s="39">
        <f>Tabela1[[#This Row],[VALOR UNITÁRIO]]*Tabela1[[#This Row],[QTDE MÍNIMA EM ESTOQUE]]</f>
        <v>840</v>
      </c>
    </row>
    <row r="48" spans="1:9" x14ac:dyDescent="0.25">
      <c r="A48" s="13">
        <v>3447</v>
      </c>
      <c r="B48" t="s">
        <v>110</v>
      </c>
      <c r="C48" s="1" t="s">
        <v>111</v>
      </c>
      <c r="D48" s="2">
        <v>23</v>
      </c>
      <c r="E48" s="36">
        <v>30</v>
      </c>
      <c r="F48" s="2" t="s">
        <v>131</v>
      </c>
      <c r="G48" s="2" t="s">
        <v>114</v>
      </c>
      <c r="I48" s="39">
        <f>Tabela1[[#This Row],[VALOR UNITÁRIO]]*Tabela1[[#This Row],[QTDE MÍNIMA EM ESTOQUE]]</f>
        <v>690</v>
      </c>
    </row>
    <row r="49" spans="1:9" x14ac:dyDescent="0.25">
      <c r="A49" s="13">
        <v>3898</v>
      </c>
      <c r="B49" t="s">
        <v>74</v>
      </c>
      <c r="C49" s="1" t="s">
        <v>75</v>
      </c>
      <c r="D49" s="2">
        <v>2</v>
      </c>
      <c r="E49" s="36">
        <v>10</v>
      </c>
      <c r="F49" s="2" t="s">
        <v>131</v>
      </c>
      <c r="G49" s="2" t="s">
        <v>114</v>
      </c>
      <c r="I49" s="39">
        <f>Tabela1[[#This Row],[VALOR UNITÁRIO]]*Tabela1[[#This Row],[QTDE MÍNIMA EM ESTOQUE]]</f>
        <v>20</v>
      </c>
    </row>
    <row r="50" spans="1:9" x14ac:dyDescent="0.25">
      <c r="A50" s="13">
        <v>5927.5</v>
      </c>
      <c r="B50" t="s">
        <v>79</v>
      </c>
      <c r="C50" s="1" t="s">
        <v>27</v>
      </c>
      <c r="D50" s="2">
        <v>2.2999999999999998</v>
      </c>
      <c r="E50" s="36">
        <v>20</v>
      </c>
      <c r="F50" s="2" t="s">
        <v>131</v>
      </c>
      <c r="G50" s="2" t="s">
        <v>114</v>
      </c>
      <c r="I50" s="39">
        <f>Tabela1[[#This Row],[VALOR UNITÁRIO]]*Tabela1[[#This Row],[QTDE MÍNIMA EM ESTOQUE]]</f>
        <v>46</v>
      </c>
    </row>
    <row r="51" spans="1:9" x14ac:dyDescent="0.25">
      <c r="A51" s="13">
        <v>6153</v>
      </c>
      <c r="B51" t="s">
        <v>80</v>
      </c>
      <c r="C51" s="1" t="s">
        <v>84</v>
      </c>
      <c r="D51" s="2">
        <v>4.9000000000000004</v>
      </c>
      <c r="E51" s="36">
        <v>20</v>
      </c>
      <c r="F51" s="2" t="s">
        <v>131</v>
      </c>
      <c r="G51" s="2" t="s">
        <v>114</v>
      </c>
      <c r="I51" s="39">
        <f>Tabela1[[#This Row],[VALOR UNITÁRIO]]*Tabela1[[#This Row],[QTDE MÍNIMA EM ESTOQUE]]</f>
        <v>98</v>
      </c>
    </row>
    <row r="52" spans="1:9" x14ac:dyDescent="0.25">
      <c r="A52" s="13">
        <v>7280.5</v>
      </c>
      <c r="B52" t="s">
        <v>89</v>
      </c>
      <c r="C52" s="1" t="s">
        <v>90</v>
      </c>
      <c r="D52" s="2">
        <v>3.1</v>
      </c>
      <c r="E52" s="36">
        <v>60</v>
      </c>
      <c r="F52" s="2" t="s">
        <v>131</v>
      </c>
      <c r="G52" s="2" t="s">
        <v>114</v>
      </c>
      <c r="I52" s="39">
        <f>Tabela1[[#This Row],[VALOR UNITÁRIO]]*Tabela1[[#This Row],[QTDE MÍNIMA EM ESTOQUE]]</f>
        <v>186</v>
      </c>
    </row>
    <row r="53" spans="1:9" x14ac:dyDescent="0.25">
      <c r="A53" s="13">
        <v>7506</v>
      </c>
      <c r="B53" t="s">
        <v>91</v>
      </c>
      <c r="C53" s="1" t="s">
        <v>92</v>
      </c>
      <c r="D53" s="2">
        <v>18.3</v>
      </c>
      <c r="E53" s="36">
        <v>70</v>
      </c>
      <c r="F53" s="2" t="s">
        <v>131</v>
      </c>
      <c r="G53" s="2" t="s">
        <v>114</v>
      </c>
      <c r="I53" s="39">
        <f>Tabela1[[#This Row],[VALOR UNITÁRIO]]*Tabela1[[#This Row],[QTDE MÍNIMA EM ESTOQUE]]</f>
        <v>1281</v>
      </c>
    </row>
    <row r="54" spans="1:9" x14ac:dyDescent="0.25">
      <c r="A54" s="13">
        <v>7731.5</v>
      </c>
      <c r="B54" t="s">
        <v>93</v>
      </c>
      <c r="C54" s="1" t="s">
        <v>94</v>
      </c>
      <c r="D54" s="2">
        <v>10.7</v>
      </c>
      <c r="E54" s="36">
        <v>70</v>
      </c>
      <c r="F54" s="2" t="s">
        <v>131</v>
      </c>
      <c r="G54" s="2" t="s">
        <v>114</v>
      </c>
      <c r="I54" s="39">
        <f>Tabela1[[#This Row],[VALOR UNITÁRIO]]*Tabela1[[#This Row],[QTDE MÍNIMA EM ESTOQUE]]</f>
        <v>749</v>
      </c>
    </row>
    <row r="55" spans="1:9" x14ac:dyDescent="0.25">
      <c r="A55" s="13">
        <v>9761</v>
      </c>
      <c r="B55" t="s">
        <v>142</v>
      </c>
      <c r="C55" s="1" t="s">
        <v>21</v>
      </c>
      <c r="D55" s="2">
        <v>39.9</v>
      </c>
      <c r="E55" s="36">
        <v>50</v>
      </c>
      <c r="F55" s="2" t="s">
        <v>131</v>
      </c>
      <c r="G55" s="2" t="s">
        <v>114</v>
      </c>
      <c r="I55" s="39">
        <f>Tabela1[[#This Row],[VALOR UNITÁRIO]]*Tabela1[[#This Row],[QTDE MÍNIMA EM ESTOQUE]]</f>
        <v>1995</v>
      </c>
    </row>
    <row r="56" spans="1:9" x14ac:dyDescent="0.25">
      <c r="A56" s="13">
        <v>9986.5</v>
      </c>
      <c r="B56" t="s">
        <v>143</v>
      </c>
      <c r="C56" s="1" t="s">
        <v>144</v>
      </c>
      <c r="D56" s="2">
        <v>22</v>
      </c>
      <c r="E56" s="36">
        <v>70</v>
      </c>
      <c r="F56" s="2" t="s">
        <v>131</v>
      </c>
      <c r="G56" s="2" t="s">
        <v>114</v>
      </c>
      <c r="I56" s="39">
        <f>Tabela1[[#This Row],[VALOR UNITÁRIO]]*Tabela1[[#This Row],[QTDE MÍNIMA EM ESTOQUE]]</f>
        <v>1540</v>
      </c>
    </row>
    <row r="57" spans="1:9" x14ac:dyDescent="0.25">
      <c r="I57" s="39">
        <f>SUBTOTAL(9,I9:I56)</f>
        <v>70339.5</v>
      </c>
    </row>
    <row r="59" spans="1:9" x14ac:dyDescent="0.25">
      <c r="D59"/>
      <c r="E59" s="37"/>
    </row>
  </sheetData>
  <mergeCells count="2">
    <mergeCell ref="C4:F5"/>
    <mergeCell ref="G4:G5"/>
  </mergeCells>
  <conditionalFormatting sqref="G62:G1048576 G8:G60">
    <cfRule type="cellIs" dxfId="17" priority="2" operator="equal">
      <formula>"EM ESTOQUE"</formula>
    </cfRule>
    <cfRule type="cellIs" dxfId="16" priority="3" operator="equal">
      <formula>"FALTANDO"</formula>
    </cfRule>
  </conditionalFormatting>
  <conditionalFormatting sqref="A9:G56">
    <cfRule type="expression" dxfId="15" priority="1">
      <formula>ROW()=CELL("LIN")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FILIAIS</vt:lpstr>
      <vt:lpstr>PRODUTOS</vt:lpstr>
      <vt:lpstr>Tab_vendas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2023-07-22T21:48:36Z</dcterms:created>
  <dcterms:modified xsi:type="dcterms:W3CDTF">2023-07-25T22:08:20Z</dcterms:modified>
</cp:coreProperties>
</file>